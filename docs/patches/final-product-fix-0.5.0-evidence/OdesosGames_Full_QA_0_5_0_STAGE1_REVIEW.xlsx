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1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cd0af50b53f4334" /></Relationships>
</file>

<file path=xl/workbook.xml><?xml version="1.0" encoding="utf-8"?>
<x:workbook xmlns:x="http://schemas.openxmlformats.org/spreadsheetml/2006/main">
  <x:sheets>
    <x:sheet xmlns:r="http://schemas.openxmlformats.org/officeDocument/2006/relationships" name="START HERE" sheetId="1" r:id="R63192e2c55aa4409"/>
    <x:sheet xmlns:r="http://schemas.openxmlformats.org/officeDocument/2006/relationships" name="Dashboard" sheetId="2" r:id="R9db013245f334ea7"/>
    <x:sheet xmlns:r="http://schemas.openxmlformats.org/officeDocument/2006/relationships" name="Sessions" sheetId="3" r:id="R1ffc22857c47450b"/>
    <x:sheet xmlns:r="http://schemas.openxmlformats.org/officeDocument/2006/relationships" name="01 Live Website" sheetId="4" r:id="R54700e24bca747f6"/>
    <x:sheet xmlns:r="http://schemas.openxmlformats.org/officeDocument/2006/relationships" name="02 Orbit Public" sheetId="5" r:id="Re23718c045ab4b67"/>
    <x:sheet xmlns:r="http://schemas.openxmlformats.org/officeDocument/2006/relationships" name="03 Reactor Public" sheetId="6" r:id="Rc472ae15f3e74473"/>
    <x:sheet xmlns:r="http://schemas.openxmlformats.org/officeDocument/2006/relationships" name="04 Ads DEV" sheetId="7" r:id="Rad9eac13f0664975"/>
    <x:sheet xmlns:r="http://schemas.openxmlformats.org/officeDocument/2006/relationships" name="05 Orbit Ads DEV" sheetId="8" r:id="R2b42597319044246"/>
    <x:sheet xmlns:r="http://schemas.openxmlformats.org/officeDocument/2006/relationships" name="06 Reactor Ads DEV" sheetId="9" r:id="R48045bb8541245de"/>
    <x:sheet xmlns:r="http://schemas.openxmlformats.org/officeDocument/2006/relationships" name="07 Game DEV Panels" sheetId="10" r:id="R09e3737bee324e7b"/>
    <x:sheet xmlns:r="http://schemas.openxmlformats.org/officeDocument/2006/relationships" name="08 Data Build" sheetId="11" r:id="R635a1ebe933e4efa"/>
    <x:sheet xmlns:r="http://schemas.openxmlformats.org/officeDocument/2006/relationships" name="09 Production Preview" sheetId="12" r:id="Rdf8eeed93e024f84"/>
    <x:sheet xmlns:r="http://schemas.openxmlformats.org/officeDocument/2006/relationships" name="10 Device Matrix" sheetId="13" r:id="R806aa46ca35f4222"/>
    <x:sheet xmlns:r="http://schemas.openxmlformats.org/officeDocument/2006/relationships" name="Bug Log" sheetId="14" r:id="R38fdf44b566543c8"/>
    <x:sheet xmlns:r="http://schemas.openxmlformats.org/officeDocument/2006/relationships" name="Sign Off" sheetId="15" r:id="Rf25f58aeb0254829"/>
    <x:sheet xmlns:r="http://schemas.openxmlformats.org/officeDocument/2006/relationships" name="Sources" sheetId="16" r:id="R9650523b2474447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22">
    <x:font>
      <x:sz val="11"/>
      <x:name val="Carlito"/>
    </x:font>
    <x:font>
      <x:b/>
      <x:sz val="20"/>
      <x:color rgb="FFFFFFFF"/>
      <x:name val="Carlito"/>
    </x:font>
    <x:font>
      <x:sz val="11"/>
      <x:name val="Aptos"/>
    </x:font>
    <x:font>
      <x:sz val="10"/>
      <x:name val="Aptos"/>
    </x:font>
    <x:font>
      <x:b/>
      <x:sz val="20"/>
      <x:color rgb="FFFFFFFF"/>
      <x:name val="Aptos"/>
    </x:font>
    <x:font>
      <x:sz val="10"/>
      <x:color rgb="FF20384D"/>
      <x:name val="Aptos"/>
    </x:font>
    <x:font>
      <x:sz val="10"/>
      <x:color rgb="FF62788B"/>
      <x:name val="Aptos"/>
    </x:font>
    <x:font>
      <x:b/>
      <x:sz val="10"/>
      <x:color rgb="FF20384D"/>
      <x:name val="Aptos"/>
    </x:font>
    <x:font>
      <x:b/>
      <x:sz val="10"/>
      <x:color rgb="FFFFFFFF"/>
      <x:name val="Aptos"/>
    </x:font>
    <x:font>
      <x:sz val="10"/>
      <x:color rgb="FF145AA0"/>
      <x:name val="Aptos"/>
    </x:font>
    <x:font>
      <x:sz val="9"/>
      <x:color rgb="FF20384D"/>
      <x:name val="Aptos"/>
    </x:font>
    <x:font>
      <x:sz val="9"/>
      <x:color rgb="FF62788B"/>
      <x:name val="Aptos"/>
    </x:font>
    <x:font>
      <x:b/>
      <x:sz val="11"/>
      <x:color rgb="FFFFFFFF"/>
      <x:name val="Aptos"/>
    </x:font>
    <x:font>
      <x:b/>
      <x:sz val="11"/>
      <x:color rgb="FF20384D"/>
      <x:name val="Aptos"/>
    </x:font>
    <x:font>
      <x:sz val="11"/>
      <x:color rgb="FF20384D"/>
      <x:name val="Aptos"/>
    </x:font>
    <x:font>
      <x:b/>
      <x:sz val="21"/>
      <x:color rgb="FFFFFFFF"/>
      <x:name val="Aptos"/>
    </x:font>
    <x:font>
      <x:b/>
      <x:sz val="12"/>
      <x:color rgb="FF20384D"/>
      <x:name val="Aptos"/>
    </x:font>
    <x:font>
      <x:sz val="11"/>
      <x:color rgb="FF20384D"/>
      <x:name val="Aptos"/>
    </x:font>
    <x:font>
      <x:sz val="10"/>
      <x:color rgb="FF20384D"/>
      <x:name val="Aptos"/>
    </x:font>
    <x:font>
      <x:b/>
      <x:sz val="24"/>
      <x:color rgb="FF20384D"/>
      <x:name val="Aptos"/>
    </x:font>
    <x:font>
      <x:b/>
      <x:sz val="16"/>
      <x:color rgb="FF20384D"/>
      <x:name val="Aptos"/>
    </x:font>
    <x:font>
      <x:b/>
      <x:sz val="14"/>
      <x:color rgb="FF20384D"/>
      <x:name val="Aptos"/>
    </x:font>
  </x:fonts>
  <x:fills count="20">
    <x:fill>
      <x:patternFill patternType="none"/>
    </x:fill>
    <x:fill>
      <x:patternFill patternType="gray125"/>
    </x:fill>
    <x:fill>
      <x:patternFill patternType="solid">
        <x:fgColor rgb="FF142D43"/>
      </x:patternFill>
    </x:fill>
    <x:fill>
      <x:patternFill patternType="solid">
        <x:fgColor rgb="FFDFEDF2"/>
      </x:patternFill>
    </x:fill>
    <x:fill>
      <x:patternFill patternType="solid">
        <x:fgColor rgb="FFF1F5F7"/>
      </x:patternFill>
    </x:fill>
    <x:fill>
      <x:patternFill patternType="solid">
        <x:fgColor rgb="FF087F8C"/>
      </x:patternFill>
    </x:fill>
    <x:fill>
      <x:patternFill patternType="solid">
        <x:fgColor rgb="FFF6F9FB"/>
      </x:patternFill>
    </x:fill>
    <x:fill>
      <x:patternFill patternType="solid">
        <x:fgColor rgb="FFF0F8FF"/>
      </x:patternFill>
    </x:fill>
    <x:fill>
      <x:patternFill patternType="solid">
        <x:fgColor rgb="FFFFF1D6"/>
      </x:patternFill>
    </x:fill>
    <x:fill>
      <x:patternFill patternType="solid">
        <x:fgColor rgb="FFEAF5F8"/>
      </x:patternFill>
    </x:fill>
    <x:fill>
      <x:patternFill patternType="solid">
        <x:fgColor rgb="FFF1F6F9"/>
      </x:patternFill>
    </x:fill>
    <x:fill>
      <x:patternFill patternType="solid">
        <x:fgColor rgb="FFFFFFFF"/>
      </x:patternFill>
    </x:fill>
    <x:fill>
      <x:patternFill patternType="solid">
        <x:fgColor rgb="FFEEF1F4"/>
      </x:patternFill>
    </x:fill>
    <x:fill>
      <x:patternFill patternType="solid">
        <x:fgColor rgb="FFFFF0BF"/>
      </x:patternFill>
    </x:fill>
    <x:fill>
      <x:patternFill patternType="solid">
        <x:fgColor rgb="FFD8F0E1"/>
      </x:patternFill>
    </x:fill>
    <x:fill>
      <x:patternFill patternType="solid">
        <x:fgColor rgb="FFFADDDD"/>
      </x:patternFill>
    </x:fill>
    <x:fill>
      <x:patternFill patternType="solid">
        <x:fgColor rgb="FFFFE7CA"/>
      </x:patternFill>
    </x:fill>
    <x:fill>
      <x:patternFill patternType="solid">
        <x:fgColor rgb="FFE9DFFA"/>
      </x:patternFill>
    </x:fill>
    <x:fill>
      <x:patternFill patternType="solid">
        <x:fgColor rgb="FFE7EAF0"/>
      </x:patternFill>
    </x:fill>
    <x:fill>
      <x:patternFill patternType="solid">
        <x:fgColor rgb="FFF6F8FA"/>
      </x:patternFill>
    </x:fill>
  </x:fills>
  <x:borders count="2">
    <x:border/>
    <x:border/>
  </x:borders>
  <x:cellStyleXfs count="1">
    <x:xf numFmtId="0" fontId="0" fillId="0" borderId="0"/>
  </x:cellStyleXfs>
  <x:cellXfs count="28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2" fillId="0" borderId="0" xfId="0" applyNumberFormat="1" applyFont="1" applyFill="1" applyBorder="1"/>
    <x:xf numFmtId="0" fontId="2" fillId="0" borderId="1" xfId="0" applyNumberFormat="1" applyFont="1" applyFill="1" applyBorder="1"/>
    <x:xf numFmtId="0" fontId="3" fillId="0" borderId="0" xfId="0" applyNumberFormat="1" applyFont="1" applyFill="1" applyBorder="1"/>
    <x:xf numFmtId="0" fontId="3" fillId="0" borderId="1" xfId="0" applyNumberFormat="1" applyFont="1" applyFill="1" applyBorder="1"/>
    <x:xf numFmtId="0" fontId="3"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vertical="center"/>
    </x:xf>
    <x:xf numFmtId="0" fontId="3" fillId="2" borderId="1"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vertical="center"/>
    </x:xf>
    <x:xf numFmtId="0" fontId="3" fillId="3" borderId="0" xfId="0" applyNumberFormat="1" applyFont="1" applyFill="1" applyBorder="1"/>
    <x:xf numFmtId="0" fontId="5" fillId="3" borderId="0" xfId="0" applyNumberFormat="1" applyFont="1" applyFill="1" applyBorder="1"/>
    <x:xf numFmtId="0" fontId="3" fillId="3" borderId="1" xfId="0" applyNumberFormat="1" applyFont="1" applyFill="1" applyBorder="1"/>
    <x:xf numFmtId="0" fontId="5" fillId="3" borderId="1" xfId="0" applyNumberFormat="1" applyFont="1" applyFill="1" applyBorder="1"/>
    <x:xf numFmtId="0" fontId="6" fillId="0" borderId="0" xfId="0" applyNumberFormat="1" applyFont="1" applyFill="1" applyBorder="1"/>
    <x:xf numFmtId="0" fontId="6" fillId="0" borderId="1" xfId="0" applyNumberFormat="1" applyFont="1" applyFill="1" applyBorder="1"/>
    <x:xf numFmtId="0" fontId="3" fillId="4" borderId="0" xfId="0" applyNumberFormat="1" applyFont="1" applyFill="1" applyBorder="1"/>
    <x:xf numFmtId="0" fontId="7" fillId="4" borderId="0" xfId="0" applyNumberFormat="1" applyFont="1" applyFill="1" applyBorder="1"/>
    <x:xf numFmtId="0" fontId="3" fillId="4" borderId="1" xfId="0" applyNumberFormat="1" applyFont="1" applyFill="1" applyBorder="1"/>
    <x:xf numFmtId="0" fontId="7" fillId="4" borderId="1" xfId="0" applyNumberFormat="1" applyFont="1" applyFill="1" applyBorder="1"/>
    <x:xf numFmtId="200" fontId="7" fillId="4" borderId="0" xfId="0" applyNumberFormat="1" applyFont="1" applyFill="1" applyBorder="1"/>
    <x:xf numFmtId="200" fontId="7" fillId="4" borderId="1" xfId="0" applyNumberFormat="1" applyFont="1" applyFill="1" applyBorder="1"/>
    <x:xf numFmtId="0" fontId="3" fillId="5" borderId="0" xfId="0" applyNumberFormat="1" applyFont="1" applyFill="1" applyBorder="1"/>
    <x:xf numFmtId="0" fontId="8" fillId="5" borderId="0" xfId="0" applyNumberFormat="1" applyFont="1" applyFill="1" applyBorder="1"/>
    <x:xf numFmtId="0" fontId="8" fillId="5" borderId="0" xfId="0" applyNumberFormat="1" applyFont="1" applyFill="1" applyBorder="1" applyAlignment="1">
      <x:alignment wrapText="1"/>
    </x:xf>
    <x:xf numFmtId="0" fontId="8" fillId="5" borderId="0" xfId="0" applyNumberFormat="1" applyFont="1" applyFill="1" applyBorder="1" applyAlignment="1">
      <x:alignment vertical="center" wrapText="1"/>
    </x:xf>
    <x:xf numFmtId="0" fontId="3" fillId="5" borderId="1" xfId="0" applyNumberFormat="1" applyFont="1" applyFill="1" applyBorder="1"/>
    <x:xf numFmtId="0" fontId="8" fillId="5" borderId="1" xfId="0" applyNumberFormat="1" applyFont="1" applyFill="1" applyBorder="1"/>
    <x:xf numFmtId="0" fontId="8" fillId="5" borderId="1" xfId="0" applyNumberFormat="1" applyFont="1" applyFill="1" applyBorder="1" applyAlignment="1">
      <x:alignment wrapText="1"/>
    </x:xf>
    <x:xf numFmtId="0" fontId="8" fillId="5" borderId="1" xfId="0" applyNumberFormat="1" applyFont="1" applyFill="1" applyBorder="1" applyAlignment="1">
      <x:alignment vertical="center" wrapText="1"/>
    </x:xf>
    <x:xf numFmtId="0" fontId="3" fillId="0" borderId="0" xfId="0" applyNumberFormat="1" applyFont="1" applyFill="1" applyBorder="1" applyAlignment="1">
      <x:alignment wrapText="1"/>
    </x:xf>
    <x:xf numFmtId="0" fontId="3" fillId="0" borderId="1"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 xfId="0" applyNumberFormat="1" applyFont="1" applyFill="1" applyBorder="1" applyAlignment="1">
      <x:alignment vertical="top" wrapText="1"/>
    </x:xf>
    <x:xf numFmtId="0" fontId="5" fillId="7" borderId="0" xfId="0" applyNumberFormat="1" applyFont="1" applyFill="1" applyBorder="1" applyAlignment="1">
      <x:alignment vertical="top" wrapText="1"/>
    </x:xf>
    <x:xf numFmtId="0" fontId="5" fillId="7" borderId="1" xfId="0" applyNumberFormat="1" applyFont="1" applyFill="1" applyBorder="1" applyAlignment="1">
      <x:alignment vertical="top" wrapText="1"/>
    </x:xf>
    <x:xf numFmtId="0" fontId="9" fillId="7" borderId="0" xfId="0" applyNumberFormat="1" applyFont="1" applyFill="1" applyBorder="1" applyAlignment="1">
      <x:alignment vertical="top" wrapText="1"/>
    </x:xf>
    <x:xf numFmtId="0" fontId="9" fillId="7" borderId="1" xfId="0" applyNumberFormat="1" applyFont="1" applyFill="1" applyBorder="1" applyAlignment="1">
      <x:alignment vertical="top" wrapText="1"/>
    </x:xf>
    <x:xf numFmtId="0" fontId="10" fillId="0" borderId="0" xfId="0" applyNumberFormat="1" applyFont="1" applyFill="1" applyBorder="1" applyAlignment="1">
      <x:alignment vertical="top" wrapText="1"/>
    </x:xf>
    <x:xf numFmtId="0" fontId="10" fillId="6" borderId="0" xfId="0" applyNumberFormat="1" applyFont="1" applyFill="1" applyBorder="1" applyAlignment="1">
      <x:alignment vertical="top" wrapText="1"/>
    </x:xf>
    <x:xf numFmtId="0" fontId="10" fillId="0" borderId="1" xfId="0" applyNumberFormat="1" applyFont="1" applyFill="1" applyBorder="1" applyAlignment="1">
      <x:alignment vertical="top" wrapText="1"/>
    </x:xf>
    <x:xf numFmtId="0" fontId="10" fillId="6" borderId="1" xfId="0" applyNumberFormat="1" applyFont="1" applyFill="1" applyBorder="1" applyAlignment="1">
      <x:alignment vertical="top" wrapText="1"/>
    </x:xf>
    <x:xf numFmtId="0" fontId="11" fillId="0" borderId="0"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0" borderId="1" xfId="0" applyNumberFormat="1" applyFont="1" applyFill="1" applyBorder="1" applyAlignment="1">
      <x:alignment vertical="top" wrapText="1"/>
    </x:xf>
    <x:xf numFmtId="0" fontId="11" fillId="6" borderId="1" xfId="0" applyNumberFormat="1" applyFont="1" applyFill="1" applyBorder="1" applyAlignment="1">
      <x:alignment vertical="top" wrapText="1"/>
    </x:xf>
    <x:xf numFmtId="201" fontId="9" fillId="7" borderId="0" xfId="0" applyNumberFormat="1" applyFont="1" applyFill="1" applyBorder="1" applyAlignment="1">
      <x:alignment vertical="top" wrapText="1"/>
    </x:xf>
    <x:xf numFmtId="201" fontId="9" fillId="7" borderId="1" xfId="0" applyNumberFormat="1" applyFont="1" applyFill="1" applyBorder="1" applyAlignment="1">
      <x:alignment vertical="top" wrapText="1"/>
    </x:xf>
    <x:xf numFmtId="0" fontId="12" fillId="2" borderId="0" xfId="0" applyNumberFormat="1" applyFont="1" applyFill="1" applyBorder="1" applyAlignment="1">
      <x:alignment vertical="center"/>
    </x:xf>
    <x:xf numFmtId="0" fontId="12" fillId="2" borderId="1" xfId="0" applyNumberFormat="1" applyFont="1" applyFill="1" applyBorder="1" applyAlignment="1">
      <x:alignment vertical="center"/>
    </x:xf>
    <x:xf numFmtId="0" fontId="13" fillId="2" borderId="0" xfId="0" applyNumberFormat="1" applyFont="1" applyFill="1" applyBorder="1" applyAlignment="1">
      <x:alignment vertical="center"/>
    </x:xf>
    <x:xf numFmtId="0" fontId="14" fillId="0" borderId="0" xfId="0" applyNumberFormat="1" applyFont="1" applyFill="1" applyBorder="1"/>
    <x:xf numFmtId="0" fontId="13" fillId="2" borderId="1" xfId="0" applyNumberFormat="1" applyFont="1" applyFill="1" applyBorder="1" applyAlignment="1">
      <x:alignment vertical="center"/>
    </x:xf>
    <x:xf numFmtId="0" fontId="14" fillId="0" borderId="1" xfId="0" applyNumberFormat="1" applyFont="1" applyFill="1" applyBorder="1"/>
    <x:xf numFmtId="0" fontId="15" fillId="2" borderId="0" xfId="0" applyNumberFormat="1" applyFont="1" applyFill="1" applyBorder="1" applyAlignment="1">
      <x:alignment vertical="center"/>
    </x:xf>
    <x:xf numFmtId="0" fontId="15" fillId="2" borderId="1" xfId="0" applyNumberFormat="1" applyFont="1" applyFill="1" applyBorder="1" applyAlignment="1">
      <x:alignment vertical="center"/>
    </x:xf>
    <x:xf numFmtId="0" fontId="14" fillId="3" borderId="0" xfId="0" applyNumberFormat="1" applyFont="1" applyFill="1" applyBorder="1"/>
    <x:xf numFmtId="0" fontId="5" fillId="3" borderId="0" xfId="0" applyNumberFormat="1" applyFont="1" applyFill="1" applyBorder="1" applyAlignment="1">
      <x:alignment wrapText="1"/>
    </x:xf>
    <x:xf numFmtId="0" fontId="14" fillId="3" borderId="1" xfId="0" applyNumberFormat="1" applyFont="1" applyFill="1" applyBorder="1"/>
    <x:xf numFmtId="0" fontId="5" fillId="3" borderId="1" xfId="0" applyNumberFormat="1" applyFont="1" applyFill="1" applyBorder="1" applyAlignment="1">
      <x:alignment wrapText="1"/>
    </x:xf>
    <x:xf numFmtId="0" fontId="14" fillId="8" borderId="0" xfId="0" applyNumberFormat="1" applyFont="1" applyFill="1" applyBorder="1"/>
    <x:xf numFmtId="0" fontId="16" fillId="8" borderId="0" xfId="0" applyNumberFormat="1" applyFont="1" applyFill="1" applyBorder="1"/>
    <x:xf numFmtId="0" fontId="16" fillId="8" borderId="0" xfId="0" applyNumberFormat="1" applyFont="1" applyFill="1" applyBorder="1" applyAlignment="1">
      <x:alignment wrapText="1"/>
    </x:xf>
    <x:xf numFmtId="0" fontId="16" fillId="8" borderId="0" xfId="0" applyNumberFormat="1" applyFont="1" applyFill="1" applyBorder="1" applyAlignment="1">
      <x:alignment vertical="center" wrapText="1"/>
    </x:xf>
    <x:xf numFmtId="0" fontId="14" fillId="8" borderId="1" xfId="0" applyNumberFormat="1" applyFont="1" applyFill="1" applyBorder="1"/>
    <x:xf numFmtId="0" fontId="16" fillId="8" borderId="1" xfId="0" applyNumberFormat="1" applyFont="1" applyFill="1" applyBorder="1"/>
    <x:xf numFmtId="0" fontId="16" fillId="8" borderId="1" xfId="0" applyNumberFormat="1" applyFont="1" applyFill="1" applyBorder="1" applyAlignment="1">
      <x:alignment wrapText="1"/>
    </x:xf>
    <x:xf numFmtId="0" fontId="16" fillId="8" borderId="1" xfId="0" applyNumberFormat="1" applyFont="1" applyFill="1" applyBorder="1" applyAlignment="1">
      <x:alignment vertical="center" wrapText="1"/>
    </x:xf>
    <x:xf numFmtId="0" fontId="14" fillId="9" borderId="0" xfId="0" applyNumberFormat="1" applyFont="1" applyFill="1" applyBorder="1"/>
    <x:xf numFmtId="0" fontId="13" fillId="9" borderId="0" xfId="0" applyNumberFormat="1" applyFont="1" applyFill="1" applyBorder="1"/>
    <x:xf numFmtId="0" fontId="13" fillId="9" borderId="0" xfId="0" applyNumberFormat="1" applyFont="1" applyFill="1" applyBorder="1" applyAlignment="1">
      <x:alignment wrapText="1"/>
    </x:xf>
    <x:xf numFmtId="0" fontId="13" fillId="9" borderId="0" xfId="0" applyNumberFormat="1" applyFont="1" applyFill="1" applyBorder="1" applyAlignment="1">
      <x:alignment vertical="center" wrapText="1"/>
    </x:xf>
    <x:xf numFmtId="0" fontId="14" fillId="9" borderId="1" xfId="0" applyNumberFormat="1" applyFont="1" applyFill="1" applyBorder="1"/>
    <x:xf numFmtId="0" fontId="13" fillId="9" borderId="1" xfId="0" applyNumberFormat="1" applyFont="1" applyFill="1" applyBorder="1"/>
    <x:xf numFmtId="0" fontId="13" fillId="9" borderId="1" xfId="0" applyNumberFormat="1" applyFont="1" applyFill="1" applyBorder="1" applyAlignment="1">
      <x:alignment wrapText="1"/>
    </x:xf>
    <x:xf numFmtId="0" fontId="13" fillId="9" borderId="1" xfId="0" applyNumberFormat="1" applyFont="1" applyFill="1" applyBorder="1" applyAlignment="1">
      <x:alignment vertical="center" wrapText="1"/>
    </x:xf>
    <x:xf numFmtId="0" fontId="14" fillId="10" borderId="0" xfId="0" applyNumberFormat="1" applyFont="1" applyFill="1" applyBorder="1"/>
    <x:xf numFmtId="0" fontId="17" fillId="10" borderId="0" xfId="0" applyNumberFormat="1" applyFont="1" applyFill="1" applyBorder="1"/>
    <x:xf numFmtId="0" fontId="17" fillId="10" borderId="0" xfId="0" applyNumberFormat="1" applyFont="1" applyFill="1" applyBorder="1" applyAlignment="1">
      <x:alignment wrapText="1"/>
    </x:xf>
    <x:xf numFmtId="0" fontId="17" fillId="10" borderId="0" xfId="0" applyNumberFormat="1" applyFont="1" applyFill="1" applyBorder="1" applyAlignment="1">
      <x:alignment vertical="center" wrapText="1"/>
    </x:xf>
    <x:xf numFmtId="0" fontId="14" fillId="10" borderId="1" xfId="0" applyNumberFormat="1" applyFont="1" applyFill="1" applyBorder="1"/>
    <x:xf numFmtId="0" fontId="17" fillId="10" borderId="1" xfId="0" applyNumberFormat="1" applyFont="1" applyFill="1" applyBorder="1"/>
    <x:xf numFmtId="0" fontId="17" fillId="10" borderId="1" xfId="0" applyNumberFormat="1" applyFont="1" applyFill="1" applyBorder="1" applyAlignment="1">
      <x:alignment wrapText="1"/>
    </x:xf>
    <x:xf numFmtId="0" fontId="17" fillId="10" borderId="1" xfId="0" applyNumberFormat="1" applyFont="1" applyFill="1" applyBorder="1" applyAlignment="1">
      <x:alignment vertical="center" wrapText="1"/>
    </x:xf>
    <x:xf numFmtId="0" fontId="14" fillId="11" borderId="0" xfId="0" applyNumberFormat="1" applyFont="1" applyFill="1" applyBorder="1"/>
    <x:xf numFmtId="0" fontId="18" fillId="11" borderId="0" xfId="0" applyNumberFormat="1" applyFont="1" applyFill="1" applyBorder="1"/>
    <x:xf numFmtId="0" fontId="18" fillId="11" borderId="0" xfId="0" applyNumberFormat="1" applyFont="1" applyFill="1" applyBorder="1" applyAlignment="1">
      <x:alignment wrapText="1"/>
    </x:xf>
    <x:xf numFmtId="0" fontId="18" fillId="11" borderId="0" xfId="0" applyNumberFormat="1" applyFont="1" applyFill="1" applyBorder="1" applyAlignment="1">
      <x:alignment vertical="center" wrapText="1"/>
    </x:xf>
    <x:xf numFmtId="0" fontId="14" fillId="11" borderId="1" xfId="0" applyNumberFormat="1" applyFont="1" applyFill="1" applyBorder="1"/>
    <x:xf numFmtId="0" fontId="18" fillId="11" borderId="1" xfId="0" applyNumberFormat="1" applyFont="1" applyFill="1" applyBorder="1"/>
    <x:xf numFmtId="0" fontId="18" fillId="11" borderId="1" xfId="0" applyNumberFormat="1" applyFont="1" applyFill="1" applyBorder="1" applyAlignment="1">
      <x:alignment wrapText="1"/>
    </x:xf>
    <x:xf numFmtId="0" fontId="18" fillId="11" borderId="1" xfId="0" applyNumberFormat="1" applyFont="1" applyFill="1" applyBorder="1" applyAlignment="1">
      <x:alignment vertical="center" wrapText="1"/>
    </x:xf>
    <x:xf numFmtId="0" fontId="14" fillId="5" borderId="0" xfId="0" applyNumberFormat="1" applyFont="1" applyFill="1" applyBorder="1"/>
    <x:xf numFmtId="0" fontId="12" fillId="5" borderId="0" xfId="0" applyNumberFormat="1" applyFont="1" applyFill="1" applyBorder="1"/>
    <x:xf numFmtId="0" fontId="14" fillId="5" borderId="1" xfId="0" applyNumberFormat="1" applyFont="1" applyFill="1" applyBorder="1"/>
    <x:xf numFmtId="0" fontId="12" fillId="5" borderId="1" xfId="0" applyNumberFormat="1" applyFont="1" applyFill="1" applyBorder="1"/>
    <x:xf numFmtId="0" fontId="14" fillId="12" borderId="0" xfId="0" applyNumberFormat="1" applyFont="1" applyFill="1" applyBorder="1"/>
    <x:xf numFmtId="0" fontId="13" fillId="12" borderId="0" xfId="0" applyNumberFormat="1" applyFont="1" applyFill="1" applyBorder="1"/>
    <x:xf numFmtId="0" fontId="13" fillId="12" borderId="0" xfId="0" applyNumberFormat="1" applyFont="1" applyFill="1" applyBorder="1" applyAlignment="1">
      <x:alignment wrapText="1"/>
    </x:xf>
    <x:xf numFmtId="0" fontId="13" fillId="12" borderId="0" xfId="0" applyNumberFormat="1" applyFont="1" applyFill="1" applyBorder="1" applyAlignment="1">
      <x:alignment vertical="center" wrapText="1"/>
    </x:xf>
    <x:xf numFmtId="0" fontId="14" fillId="12" borderId="1" xfId="0" applyNumberFormat="1" applyFont="1" applyFill="1" applyBorder="1"/>
    <x:xf numFmtId="0" fontId="13" fillId="12" borderId="1" xfId="0" applyNumberFormat="1" applyFont="1" applyFill="1" applyBorder="1"/>
    <x:xf numFmtId="0" fontId="13" fillId="12" borderId="1" xfId="0" applyNumberFormat="1" applyFont="1" applyFill="1" applyBorder="1" applyAlignment="1">
      <x:alignment wrapText="1"/>
    </x:xf>
    <x:xf numFmtId="0" fontId="13" fillId="12" borderId="1" xfId="0" applyNumberFormat="1" applyFont="1" applyFill="1" applyBorder="1" applyAlignment="1">
      <x:alignment vertical="center" wrapText="1"/>
    </x:xf>
    <x:xf numFmtId="0" fontId="14" fillId="13" borderId="0" xfId="0" applyNumberFormat="1" applyFont="1" applyFill="1" applyBorder="1"/>
    <x:xf numFmtId="0" fontId="13" fillId="13" borderId="0" xfId="0" applyNumberFormat="1" applyFont="1" applyFill="1" applyBorder="1"/>
    <x:xf numFmtId="0" fontId="13" fillId="13" borderId="0" xfId="0" applyNumberFormat="1" applyFont="1" applyFill="1" applyBorder="1" applyAlignment="1">
      <x:alignment wrapText="1"/>
    </x:xf>
    <x:xf numFmtId="0" fontId="13" fillId="13" borderId="0" xfId="0" applyNumberFormat="1" applyFont="1" applyFill="1" applyBorder="1" applyAlignment="1">
      <x:alignment vertical="center" wrapText="1"/>
    </x:xf>
    <x:xf numFmtId="0" fontId="14" fillId="13" borderId="1" xfId="0" applyNumberFormat="1" applyFont="1" applyFill="1" applyBorder="1"/>
    <x:xf numFmtId="0" fontId="13" fillId="13" borderId="1" xfId="0" applyNumberFormat="1" applyFont="1" applyFill="1" applyBorder="1"/>
    <x:xf numFmtId="0" fontId="13" fillId="13" borderId="1" xfId="0" applyNumberFormat="1" applyFont="1" applyFill="1" applyBorder="1" applyAlignment="1">
      <x:alignment wrapText="1"/>
    </x:xf>
    <x:xf numFmtId="0" fontId="13" fillId="13" borderId="1" xfId="0" applyNumberFormat="1" applyFont="1" applyFill="1" applyBorder="1" applyAlignment="1">
      <x:alignment vertical="center" wrapText="1"/>
    </x:xf>
    <x:xf numFmtId="0" fontId="14" fillId="14" borderId="0" xfId="0" applyNumberFormat="1" applyFont="1" applyFill="1" applyBorder="1"/>
    <x:xf numFmtId="0" fontId="13" fillId="14" borderId="0" xfId="0" applyNumberFormat="1" applyFont="1" applyFill="1" applyBorder="1"/>
    <x:xf numFmtId="0" fontId="13" fillId="14" borderId="0" xfId="0" applyNumberFormat="1" applyFont="1" applyFill="1" applyBorder="1" applyAlignment="1">
      <x:alignment wrapText="1"/>
    </x:xf>
    <x:xf numFmtId="0" fontId="13" fillId="14" borderId="0" xfId="0" applyNumberFormat="1" applyFont="1" applyFill="1" applyBorder="1" applyAlignment="1">
      <x:alignment vertical="center" wrapText="1"/>
    </x:xf>
    <x:xf numFmtId="0" fontId="14" fillId="14" borderId="1" xfId="0" applyNumberFormat="1" applyFont="1" applyFill="1" applyBorder="1"/>
    <x:xf numFmtId="0" fontId="13" fillId="14" borderId="1" xfId="0" applyNumberFormat="1" applyFont="1" applyFill="1" applyBorder="1"/>
    <x:xf numFmtId="0" fontId="13" fillId="14" borderId="1" xfId="0" applyNumberFormat="1" applyFont="1" applyFill="1" applyBorder="1" applyAlignment="1">
      <x:alignment wrapText="1"/>
    </x:xf>
    <x:xf numFmtId="0" fontId="13" fillId="14" borderId="1" xfId="0" applyNumberFormat="1" applyFont="1" applyFill="1" applyBorder="1" applyAlignment="1">
      <x:alignment vertical="center" wrapText="1"/>
    </x:xf>
    <x:xf numFmtId="0" fontId="14" fillId="15" borderId="0" xfId="0" applyNumberFormat="1" applyFont="1" applyFill="1" applyBorder="1"/>
    <x:xf numFmtId="0" fontId="13" fillId="15" borderId="0" xfId="0" applyNumberFormat="1" applyFont="1" applyFill="1" applyBorder="1"/>
    <x:xf numFmtId="0" fontId="13" fillId="15" borderId="0" xfId="0" applyNumberFormat="1" applyFont="1" applyFill="1" applyBorder="1" applyAlignment="1">
      <x:alignment wrapText="1"/>
    </x:xf>
    <x:xf numFmtId="0" fontId="13" fillId="15" borderId="0" xfId="0" applyNumberFormat="1" applyFont="1" applyFill="1" applyBorder="1" applyAlignment="1">
      <x:alignment vertical="center" wrapText="1"/>
    </x:xf>
    <x:xf numFmtId="0" fontId="14" fillId="15" borderId="1" xfId="0" applyNumberFormat="1" applyFont="1" applyFill="1" applyBorder="1"/>
    <x:xf numFmtId="0" fontId="13" fillId="15" borderId="1" xfId="0" applyNumberFormat="1" applyFont="1" applyFill="1" applyBorder="1"/>
    <x:xf numFmtId="0" fontId="13" fillId="15" borderId="1" xfId="0" applyNumberFormat="1" applyFont="1" applyFill="1" applyBorder="1" applyAlignment="1">
      <x:alignment wrapText="1"/>
    </x:xf>
    <x:xf numFmtId="0" fontId="13" fillId="15" borderId="1" xfId="0" applyNumberFormat="1" applyFont="1" applyFill="1" applyBorder="1" applyAlignment="1">
      <x:alignment vertical="center" wrapText="1"/>
    </x:xf>
    <x:xf numFmtId="0" fontId="14" fillId="16" borderId="0" xfId="0" applyNumberFormat="1" applyFont="1" applyFill="1" applyBorder="1"/>
    <x:xf numFmtId="0" fontId="13" fillId="16" borderId="0" xfId="0" applyNumberFormat="1" applyFont="1" applyFill="1" applyBorder="1"/>
    <x:xf numFmtId="0" fontId="13" fillId="16" borderId="0" xfId="0" applyNumberFormat="1" applyFont="1" applyFill="1" applyBorder="1" applyAlignment="1">
      <x:alignment wrapText="1"/>
    </x:xf>
    <x:xf numFmtId="0" fontId="13" fillId="16" borderId="0" xfId="0" applyNumberFormat="1" applyFont="1" applyFill="1" applyBorder="1" applyAlignment="1">
      <x:alignment vertical="center" wrapText="1"/>
    </x:xf>
    <x:xf numFmtId="0" fontId="14" fillId="16" borderId="1" xfId="0" applyNumberFormat="1" applyFont="1" applyFill="1" applyBorder="1"/>
    <x:xf numFmtId="0" fontId="13" fillId="16" borderId="1" xfId="0" applyNumberFormat="1" applyFont="1" applyFill="1" applyBorder="1"/>
    <x:xf numFmtId="0" fontId="13" fillId="16" borderId="1" xfId="0" applyNumberFormat="1" applyFont="1" applyFill="1" applyBorder="1" applyAlignment="1">
      <x:alignment wrapText="1"/>
    </x:xf>
    <x:xf numFmtId="0" fontId="13" fillId="16" borderId="1" xfId="0" applyNumberFormat="1" applyFont="1" applyFill="1" applyBorder="1" applyAlignment="1">
      <x:alignment vertical="center" wrapText="1"/>
    </x:xf>
    <x:xf numFmtId="0" fontId="14" fillId="17" borderId="0" xfId="0" applyNumberFormat="1" applyFont="1" applyFill="1" applyBorder="1"/>
    <x:xf numFmtId="0" fontId="13" fillId="17" borderId="0" xfId="0" applyNumberFormat="1" applyFont="1" applyFill="1" applyBorder="1"/>
    <x:xf numFmtId="0" fontId="13" fillId="17" borderId="0" xfId="0" applyNumberFormat="1" applyFont="1" applyFill="1" applyBorder="1" applyAlignment="1">
      <x:alignment wrapText="1"/>
    </x:xf>
    <x:xf numFmtId="0" fontId="13" fillId="17" borderId="0" xfId="0" applyNumberFormat="1" applyFont="1" applyFill="1" applyBorder="1" applyAlignment="1">
      <x:alignment vertical="center" wrapText="1"/>
    </x:xf>
    <x:xf numFmtId="0" fontId="14" fillId="17" borderId="1" xfId="0" applyNumberFormat="1" applyFont="1" applyFill="1" applyBorder="1"/>
    <x:xf numFmtId="0" fontId="13" fillId="17" borderId="1" xfId="0" applyNumberFormat="1" applyFont="1" applyFill="1" applyBorder="1"/>
    <x:xf numFmtId="0" fontId="13" fillId="17" borderId="1" xfId="0" applyNumberFormat="1" applyFont="1" applyFill="1" applyBorder="1" applyAlignment="1">
      <x:alignment wrapText="1"/>
    </x:xf>
    <x:xf numFmtId="0" fontId="13" fillId="17" borderId="1" xfId="0" applyNumberFormat="1" applyFont="1" applyFill="1" applyBorder="1" applyAlignment="1">
      <x:alignment vertical="center" wrapText="1"/>
    </x:xf>
    <x:xf numFmtId="0" fontId="14" fillId="18" borderId="0" xfId="0" applyNumberFormat="1" applyFont="1" applyFill="1" applyBorder="1"/>
    <x:xf numFmtId="0" fontId="13" fillId="18" borderId="0" xfId="0" applyNumberFormat="1" applyFont="1" applyFill="1" applyBorder="1"/>
    <x:xf numFmtId="0" fontId="13" fillId="18" borderId="0" xfId="0" applyNumberFormat="1" applyFont="1" applyFill="1" applyBorder="1" applyAlignment="1">
      <x:alignment wrapText="1"/>
    </x:xf>
    <x:xf numFmtId="0" fontId="13" fillId="18" borderId="0" xfId="0" applyNumberFormat="1" applyFont="1" applyFill="1" applyBorder="1" applyAlignment="1">
      <x:alignment vertical="center" wrapText="1"/>
    </x:xf>
    <x:xf numFmtId="0" fontId="14" fillId="18" borderId="1" xfId="0" applyNumberFormat="1" applyFont="1" applyFill="1" applyBorder="1"/>
    <x:xf numFmtId="0" fontId="13" fillId="18" borderId="1" xfId="0" applyNumberFormat="1" applyFont="1" applyFill="1" applyBorder="1"/>
    <x:xf numFmtId="0" fontId="13" fillId="18" borderId="1" xfId="0" applyNumberFormat="1" applyFont="1" applyFill="1" applyBorder="1" applyAlignment="1">
      <x:alignment wrapText="1"/>
    </x:xf>
    <x:xf numFmtId="0" fontId="13" fillId="18" borderId="1" xfId="0" applyNumberFormat="1" applyFont="1" applyFill="1" applyBorder="1" applyAlignment="1">
      <x:alignment vertical="center" wrapText="1"/>
    </x:xf>
    <x:xf numFmtId="0" fontId="17" fillId="8" borderId="0" xfId="0" applyNumberFormat="1" applyFont="1" applyFill="1" applyBorder="1"/>
    <x:xf numFmtId="0" fontId="17" fillId="8" borderId="0" xfId="0" applyNumberFormat="1" applyFont="1" applyFill="1" applyBorder="1" applyAlignment="1">
      <x:alignment wrapText="1"/>
    </x:xf>
    <x:xf numFmtId="0" fontId="17" fillId="8" borderId="0" xfId="0" applyNumberFormat="1" applyFont="1" applyFill="1" applyBorder="1" applyAlignment="1">
      <x:alignment vertical="center" wrapText="1"/>
    </x:xf>
    <x:xf numFmtId="0" fontId="17" fillId="8" borderId="1" xfId="0" applyNumberFormat="1" applyFont="1" applyFill="1" applyBorder="1"/>
    <x:xf numFmtId="0" fontId="17" fillId="8" borderId="1" xfId="0" applyNumberFormat="1" applyFont="1" applyFill="1" applyBorder="1" applyAlignment="1">
      <x:alignment wrapText="1"/>
    </x:xf>
    <x:xf numFmtId="0" fontId="17" fillId="8" borderId="1" xfId="0" applyNumberFormat="1" applyFont="1" applyFill="1" applyBorder="1" applyAlignment="1">
      <x:alignment vertical="center" wrapText="1"/>
    </x:xf>
    <x:xf numFmtId="0" fontId="17" fillId="9" borderId="0" xfId="0" applyNumberFormat="1" applyFont="1" applyFill="1" applyBorder="1"/>
    <x:xf numFmtId="0" fontId="17" fillId="9" borderId="0" xfId="0" applyNumberFormat="1" applyFont="1" applyFill="1" applyBorder="1" applyAlignment="1">
      <x:alignment wrapText="1"/>
    </x:xf>
    <x:xf numFmtId="0" fontId="17" fillId="9" borderId="0" xfId="0" applyNumberFormat="1" applyFont="1" applyFill="1" applyBorder="1" applyAlignment="1">
      <x:alignment vertical="center" wrapText="1"/>
    </x:xf>
    <x:xf numFmtId="0" fontId="17" fillId="9" borderId="1" xfId="0" applyNumberFormat="1" applyFont="1" applyFill="1" applyBorder="1"/>
    <x:xf numFmtId="0" fontId="17" fillId="9" borderId="1" xfId="0" applyNumberFormat="1" applyFont="1" applyFill="1" applyBorder="1" applyAlignment="1">
      <x:alignment wrapText="1"/>
    </x:xf>
    <x:xf numFmtId="0" fontId="17" fillId="9" borderId="1" xfId="0" applyNumberFormat="1" applyFont="1" applyFill="1" applyBorder="1" applyAlignment="1">
      <x:alignment vertical="center" wrapText="1"/>
    </x:xf>
    <x:xf numFmtId="0" fontId="7" fillId="3" borderId="0" xfId="0" applyNumberFormat="1" applyFont="1" applyFill="1" applyBorder="1"/>
    <x:xf numFmtId="0" fontId="7" fillId="3" borderId="0" xfId="0" applyNumberFormat="1" applyFont="1" applyFill="1" applyBorder="1" applyAlignment="1">
      <x:alignment wrapText="1"/>
    </x:xf>
    <x:xf numFmtId="0" fontId="7" fillId="3" borderId="0" xfId="0" applyNumberFormat="1" applyFont="1" applyFill="1" applyBorder="1" applyAlignment="1">
      <x:alignment vertical="center" wrapText="1"/>
    </x:xf>
    <x:xf numFmtId="0" fontId="7" fillId="3" borderId="1" xfId="0" applyNumberFormat="1" applyFont="1" applyFill="1" applyBorder="1"/>
    <x:xf numFmtId="0" fontId="7" fillId="3" borderId="1" xfId="0" applyNumberFormat="1" applyFont="1" applyFill="1" applyBorder="1" applyAlignment="1">
      <x:alignment wrapText="1"/>
    </x:xf>
    <x:xf numFmtId="0" fontId="7" fillId="3" borderId="1" xfId="0" applyNumberFormat="1" applyFont="1" applyFill="1" applyBorder="1" applyAlignment="1">
      <x:alignment vertical="center" wrapText="1"/>
    </x:xf>
    <x:xf numFmtId="0" fontId="14" fillId="19" borderId="0" xfId="0" applyNumberFormat="1" applyFont="1" applyFill="1" applyBorder="1"/>
    <x:xf numFmtId="0" fontId="18" fillId="19" borderId="0" xfId="0" applyNumberFormat="1" applyFont="1" applyFill="1" applyBorder="1"/>
    <x:xf numFmtId="0" fontId="18" fillId="19" borderId="0" xfId="0" applyNumberFormat="1" applyFont="1" applyFill="1" applyBorder="1" applyAlignment="1">
      <x:alignment wrapText="1"/>
    </x:xf>
    <x:xf numFmtId="0" fontId="18" fillId="19" borderId="0" xfId="0" applyNumberFormat="1" applyFont="1" applyFill="1" applyBorder="1" applyAlignment="1">
      <x:alignment vertical="center" wrapText="1"/>
    </x:xf>
    <x:xf numFmtId="0" fontId="14" fillId="19" borderId="1" xfId="0" applyNumberFormat="1" applyFont="1" applyFill="1" applyBorder="1"/>
    <x:xf numFmtId="0" fontId="18" fillId="19" borderId="1" xfId="0" applyNumberFormat="1" applyFont="1" applyFill="1" applyBorder="1"/>
    <x:xf numFmtId="0" fontId="18" fillId="19" borderId="1" xfId="0" applyNumberFormat="1" applyFont="1" applyFill="1" applyBorder="1" applyAlignment="1">
      <x:alignment wrapText="1"/>
    </x:xf>
    <x:xf numFmtId="0" fontId="18" fillId="19" borderId="1" xfId="0" applyNumberFormat="1" applyFont="1" applyFill="1" applyBorder="1" applyAlignment="1">
      <x:alignment vertical="center" wrapText="1"/>
    </x:xf>
    <x:xf numFmtId="0" fontId="14" fillId="2" borderId="0" xfId="0" applyNumberFormat="1" applyFont="1" applyFill="1" applyBorder="1"/>
    <x:xf numFmtId="0" fontId="15" fillId="2" borderId="0" xfId="0" applyNumberFormat="1" applyFont="1" applyFill="1" applyBorder="1"/>
    <x:xf numFmtId="0" fontId="14" fillId="2" borderId="1" xfId="0" applyNumberFormat="1" applyFont="1" applyFill="1" applyBorder="1"/>
    <x:xf numFmtId="0" fontId="15" fillId="2" borderId="1" xfId="0" applyNumberFormat="1" applyFont="1" applyFill="1" applyBorder="1"/>
    <x:xf numFmtId="0" fontId="12" fillId="5" borderId="0" xfId="0" applyNumberFormat="1" applyFont="1" applyFill="1" applyBorder="1" applyAlignment="1">
      <x:alignment wrapText="1"/>
    </x:xf>
    <x:xf numFmtId="0" fontId="12" fillId="5" borderId="1" xfId="0" applyNumberFormat="1" applyFont="1" applyFill="1" applyBorder="1" applyAlignment="1">
      <x:alignment wrapText="1"/>
    </x:xf>
    <x:xf numFmtId="0" fontId="14" fillId="7" borderId="0" xfId="0" applyNumberFormat="1" applyFont="1" applyFill="1" applyBorder="1"/>
    <x:xf numFmtId="0" fontId="9" fillId="7" borderId="0" xfId="0" applyNumberFormat="1" applyFont="1" applyFill="1" applyBorder="1"/>
    <x:xf numFmtId="0" fontId="9" fillId="7" borderId="0" xfId="0" applyNumberFormat="1" applyFont="1" applyFill="1" applyBorder="1" applyAlignment="1">
      <x:alignment wrapText="1"/>
    </x:xf>
    <x:xf numFmtId="0" fontId="14" fillId="7" borderId="1" xfId="0" applyNumberFormat="1" applyFont="1" applyFill="1" applyBorder="1"/>
    <x:xf numFmtId="0" fontId="9" fillId="7" borderId="1" xfId="0" applyNumberFormat="1" applyFont="1" applyFill="1" applyBorder="1"/>
    <x:xf numFmtId="0" fontId="9" fillId="7" borderId="1" xfId="0" applyNumberFormat="1" applyFont="1" applyFill="1" applyBorder="1" applyAlignment="1">
      <x:alignment wrapText="1"/>
    </x:xf>
    <x:xf numFmtId="0" fontId="19" fillId="9" borderId="0" xfId="0" applyNumberFormat="1" applyFont="1" applyFill="1" applyBorder="1"/>
    <x:xf numFmtId="0" fontId="19" fillId="9" borderId="0" xfId="0" applyNumberFormat="1" applyFont="1" applyFill="1" applyBorder="1" applyAlignment="1">
      <x:alignment wrapText="1"/>
    </x:xf>
    <x:xf numFmtId="0" fontId="19" fillId="9" borderId="0" xfId="0" applyNumberFormat="1" applyFont="1" applyFill="1" applyBorder="1" applyAlignment="1">
      <x:alignment vertical="center" wrapText="1"/>
    </x:xf>
    <x:xf numFmtId="0" fontId="19" fillId="9" borderId="1" xfId="0" applyNumberFormat="1" applyFont="1" applyFill="1" applyBorder="1"/>
    <x:xf numFmtId="0" fontId="19" fillId="9" borderId="1" xfId="0" applyNumberFormat="1" applyFont="1" applyFill="1" applyBorder="1" applyAlignment="1">
      <x:alignment wrapText="1"/>
    </x:xf>
    <x:xf numFmtId="0" fontId="19" fillId="9" borderId="1" xfId="0" applyNumberFormat="1" applyFont="1" applyFill="1" applyBorder="1" applyAlignment="1">
      <x:alignment vertical="center" wrapText="1"/>
    </x:xf>
    <x:xf numFmtId="200" fontId="19" fillId="9" borderId="0" xfId="0" applyNumberFormat="1" applyFont="1" applyFill="1" applyBorder="1" applyAlignment="1">
      <x:alignment vertical="center" wrapText="1"/>
    </x:xf>
    <x:xf numFmtId="200" fontId="19" fillId="9" borderId="1" xfId="0" applyNumberFormat="1" applyFont="1" applyFill="1" applyBorder="1" applyAlignment="1">
      <x:alignment vertical="center" wrapText="1"/>
    </x:xf>
    <x:xf numFmtId="0" fontId="12" fillId="2" borderId="0" xfId="0" applyNumberFormat="1" applyFont="1" applyFill="1" applyBorder="1"/>
    <x:xf numFmtId="0" fontId="12" fillId="2" borderId="1" xfId="0" applyNumberFormat="1" applyFont="1" applyFill="1" applyBorder="1"/>
    <x:xf numFmtId="200" fontId="14" fillId="10" borderId="0" xfId="0" applyNumberFormat="1" applyFont="1" applyFill="1" applyBorder="1"/>
    <x:xf numFmtId="200" fontId="14" fillId="0" borderId="0" xfId="0" applyNumberFormat="1" applyFont="1" applyFill="1" applyBorder="1"/>
    <x:xf numFmtId="200" fontId="12" fillId="2" borderId="0" xfId="0" applyNumberFormat="1" applyFont="1" applyFill="1" applyBorder="1"/>
    <x:xf numFmtId="200" fontId="14" fillId="10" borderId="1" xfId="0" applyNumberFormat="1" applyFont="1" applyFill="1" applyBorder="1"/>
    <x:xf numFmtId="200" fontId="14" fillId="0" borderId="1" xfId="0" applyNumberFormat="1" applyFont="1" applyFill="1" applyBorder="1"/>
    <x:xf numFmtId="200" fontId="12" fillId="2" borderId="1" xfId="0" applyNumberFormat="1" applyFont="1" applyFill="1" applyBorder="1"/>
    <x:xf numFmtId="0" fontId="18" fillId="10" borderId="0" xfId="0" applyNumberFormat="1" applyFont="1" applyFill="1" applyBorder="1"/>
    <x:xf numFmtId="0" fontId="18" fillId="10" borderId="0" xfId="0" applyNumberFormat="1" applyFont="1" applyFill="1" applyBorder="1" applyAlignment="1">
      <x:alignment wrapText="1"/>
    </x:xf>
    <x:xf numFmtId="0" fontId="18" fillId="10" borderId="0" xfId="0" applyNumberFormat="1" applyFont="1" applyFill="1" applyBorder="1" applyAlignment="1">
      <x:alignment vertical="center" wrapText="1"/>
    </x:xf>
    <x:xf numFmtId="0" fontId="18" fillId="10" borderId="1" xfId="0" applyNumberFormat="1" applyFont="1" applyFill="1" applyBorder="1"/>
    <x:xf numFmtId="0" fontId="18" fillId="10" borderId="1" xfId="0" applyNumberFormat="1" applyFont="1" applyFill="1" applyBorder="1" applyAlignment="1">
      <x:alignment wrapText="1"/>
    </x:xf>
    <x:xf numFmtId="0" fontId="18" fillId="10" borderId="1" xfId="0" applyNumberFormat="1" applyFont="1" applyFill="1" applyBorder="1" applyAlignment="1">
      <x:alignment vertical="center" wrapText="1"/>
    </x:xf>
    <x:xf numFmtId="0" fontId="20" fillId="8" borderId="0" xfId="0" applyNumberFormat="1" applyFont="1" applyFill="1" applyBorder="1"/>
    <x:xf numFmtId="0" fontId="20" fillId="8" borderId="0" xfId="0" applyNumberFormat="1" applyFont="1" applyFill="1" applyBorder="1" applyAlignment="1">
      <x:alignment wrapText="1"/>
    </x:xf>
    <x:xf numFmtId="0" fontId="20" fillId="8" borderId="0" xfId="0" applyNumberFormat="1" applyFont="1" applyFill="1" applyBorder="1" applyAlignment="1">
      <x:alignment vertical="center" wrapText="1"/>
    </x:xf>
    <x:xf numFmtId="0" fontId="20" fillId="8" borderId="1" xfId="0" applyNumberFormat="1" applyFont="1" applyFill="1" applyBorder="1"/>
    <x:xf numFmtId="0" fontId="20" fillId="8" borderId="1" xfId="0" applyNumberFormat="1" applyFont="1" applyFill="1" applyBorder="1" applyAlignment="1">
      <x:alignment wrapText="1"/>
    </x:xf>
    <x:xf numFmtId="0" fontId="20" fillId="8" borderId="1" xfId="0" applyNumberFormat="1" applyFont="1" applyFill="1" applyBorder="1" applyAlignment="1">
      <x:alignment vertical="center" wrapText="1"/>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1" xfId="0" applyNumberFormat="1" applyFont="1" applyFill="1" applyBorder="1"/>
    <x:xf numFmtId="0" fontId="5" fillId="0" borderId="1" xfId="0" applyNumberFormat="1" applyFont="1" applyFill="1" applyBorder="1" applyAlignment="1">
      <x:alignment wrapText="1"/>
    </x:xf>
    <x:xf numFmtId="0" fontId="21" fillId="8" borderId="0" xfId="0" applyNumberFormat="1" applyFont="1" applyFill="1" applyBorder="1"/>
    <x:xf numFmtId="0" fontId="21" fillId="8" borderId="0" xfId="0" applyNumberFormat="1" applyFont="1" applyFill="1" applyBorder="1" applyAlignment="1">
      <x:alignment wrapText="1"/>
    </x:xf>
    <x:xf numFmtId="0" fontId="21" fillId="8" borderId="0" xfId="0" applyNumberFormat="1" applyFont="1" applyFill="1" applyBorder="1" applyAlignment="1">
      <x:alignment vertical="center" wrapText="1"/>
    </x:xf>
    <x:xf numFmtId="0" fontId="21" fillId="8" borderId="1" xfId="0" applyNumberFormat="1" applyFont="1" applyFill="1" applyBorder="1"/>
    <x:xf numFmtId="0" fontId="21" fillId="8" borderId="1" xfId="0" applyNumberFormat="1" applyFont="1" applyFill="1" applyBorder="1" applyAlignment="1">
      <x:alignment wrapText="1"/>
    </x:xf>
    <x:xf numFmtId="0" fontId="21" fillId="8" borderId="1" xfId="0" applyNumberFormat="1" applyFont="1" applyFill="1" applyBorder="1" applyAlignment="1">
      <x:alignment vertical="center" wrapText="1"/>
    </x:xf>
    <x:xf numFmtId="0" fontId="18" fillId="7" borderId="0" xfId="0" applyNumberFormat="1" applyFont="1" applyFill="1" applyBorder="1"/>
    <x:xf numFmtId="0" fontId="18" fillId="7" borderId="0" xfId="0" applyNumberFormat="1" applyFont="1" applyFill="1" applyBorder="1" applyAlignment="1">
      <x:alignment wrapText="1"/>
    </x:xf>
    <x:xf numFmtId="0" fontId="18" fillId="7" borderId="0" xfId="0" applyNumberFormat="1" applyFont="1" applyFill="1" applyBorder="1" applyAlignment="1">
      <x:alignment vertical="center" wrapText="1"/>
    </x:xf>
    <x:xf numFmtId="0" fontId="18" fillId="7" borderId="1" xfId="0" applyNumberFormat="1" applyFont="1" applyFill="1" applyBorder="1"/>
    <x:xf numFmtId="0" fontId="18" fillId="7" borderId="1" xfId="0" applyNumberFormat="1" applyFont="1" applyFill="1" applyBorder="1" applyAlignment="1">
      <x:alignment wrapText="1"/>
    </x:xf>
    <x:xf numFmtId="0" fontId="18" fillId="7" borderId="1" xfId="0" applyNumberFormat="1" applyFont="1" applyFill="1" applyBorder="1" applyAlignment="1">
      <x:alignment vertical="center" wrapText="1"/>
    </x:xf>
    <x:xf numFmtId="0" fontId="13" fillId="10" borderId="0" xfId="0" applyNumberFormat="1" applyFont="1" applyFill="1" applyBorder="1"/>
    <x:xf numFmtId="0" fontId="13" fillId="10" borderId="0" xfId="0" applyNumberFormat="1" applyFont="1" applyFill="1" applyBorder="1" applyAlignment="1">
      <x:alignment wrapText="1"/>
    </x:xf>
    <x:xf numFmtId="0" fontId="13" fillId="10" borderId="0" xfId="0" applyNumberFormat="1" applyFont="1" applyFill="1" applyBorder="1" applyAlignment="1">
      <x:alignment vertical="center" wrapText="1"/>
    </x:xf>
    <x:xf numFmtId="0" fontId="13" fillId="10" borderId="1" xfId="0" applyNumberFormat="1" applyFont="1" applyFill="1" applyBorder="1"/>
    <x:xf numFmtId="0" fontId="13" fillId="10" borderId="1" xfId="0" applyNumberFormat="1" applyFont="1" applyFill="1" applyBorder="1" applyAlignment="1">
      <x:alignment wrapText="1"/>
    </x:xf>
    <x:xf numFmtId="0" fontId="13" fillId="10" borderId="1" xfId="0" applyNumberFormat="1" applyFont="1" applyFill="1" applyBorder="1" applyAlignment="1">
      <x:alignment vertical="center" wrapText="1"/>
    </x:xf>
    <x:xf numFmtId="0" fontId="17" fillId="7" borderId="0" xfId="0" applyNumberFormat="1" applyFont="1" applyFill="1" applyBorder="1"/>
    <x:xf numFmtId="0" fontId="17" fillId="7" borderId="0" xfId="0" applyNumberFormat="1" applyFont="1" applyFill="1" applyBorder="1" applyAlignment="1">
      <x:alignment wrapText="1"/>
    </x:xf>
    <x:xf numFmtId="0" fontId="17" fillId="7" borderId="0" xfId="0" applyNumberFormat="1" applyFont="1" applyFill="1" applyBorder="1" applyAlignment="1">
      <x:alignment vertical="center" wrapText="1"/>
    </x:xf>
    <x:xf numFmtId="0" fontId="17" fillId="7" borderId="1" xfId="0" applyNumberFormat="1" applyFont="1" applyFill="1" applyBorder="1"/>
    <x:xf numFmtId="0" fontId="17" fillId="7" borderId="1" xfId="0" applyNumberFormat="1" applyFont="1" applyFill="1" applyBorder="1" applyAlignment="1">
      <x:alignment wrapText="1"/>
    </x:xf>
    <x:xf numFmtId="0" fontId="17" fillId="7" borderId="1" xfId="0" applyNumberFormat="1" applyFont="1" applyFill="1" applyBorder="1" applyAlignment="1">
      <x:alignment vertical="center" wrapText="1"/>
    </x:xf>
    <x:xf numFmtId="201" fontId="17" fillId="7" borderId="0" xfId="0" applyNumberFormat="1" applyFont="1" applyFill="1" applyBorder="1" applyAlignment="1">
      <x:alignment vertical="center" wrapText="1"/>
    </x:xf>
    <x:xf numFmtId="201" fontId="17" fillId="7" borderId="1" xfId="0" applyNumberFormat="1" applyFont="1" applyFill="1" applyBorder="1" applyAlignment="1">
      <x:alignment vertical="center" wrapText="1"/>
    </x:xf>
    <x:xf numFmtId="0" fontId="20" fillId="9" borderId="0" xfId="0" applyNumberFormat="1" applyFont="1" applyFill="1" applyBorder="1"/>
    <x:xf numFmtId="0" fontId="20" fillId="9" borderId="0" xfId="0" applyNumberFormat="1" applyFont="1" applyFill="1" applyBorder="1" applyAlignment="1">
      <x:alignment wrapText="1"/>
    </x:xf>
    <x:xf numFmtId="0" fontId="20" fillId="9" borderId="0" xfId="0" applyNumberFormat="1" applyFont="1" applyFill="1" applyBorder="1" applyAlignment="1">
      <x:alignment vertical="center" wrapText="1"/>
    </x:xf>
    <x:xf numFmtId="0" fontId="20" fillId="9" borderId="1" xfId="0" applyNumberFormat="1" applyFont="1" applyFill="1" applyBorder="1"/>
    <x:xf numFmtId="0" fontId="20" fillId="9" borderId="1" xfId="0" applyNumberFormat="1" applyFont="1" applyFill="1" applyBorder="1" applyAlignment="1">
      <x:alignment wrapText="1"/>
    </x:xf>
    <x:xf numFmtId="0" fontId="20" fillId="9" borderId="1" xfId="0" applyNumberFormat="1" applyFont="1" applyFill="1" applyBorder="1" applyAlignment="1">
      <x:alignment vertical="center" wrapText="1"/>
    </x:xf>
    <x:xf numFmtId="0" fontId="13" fillId="8" borderId="0" xfId="0" applyNumberFormat="1" applyFont="1" applyFill="1" applyBorder="1"/>
    <x:xf numFmtId="0" fontId="13" fillId="8" borderId="0" xfId="0" applyNumberFormat="1" applyFont="1" applyFill="1" applyBorder="1" applyAlignment="1">
      <x:alignment wrapText="1"/>
    </x:xf>
    <x:xf numFmtId="0" fontId="13" fillId="8" borderId="0" xfId="0" applyNumberFormat="1" applyFont="1" applyFill="1" applyBorder="1" applyAlignment="1">
      <x:alignment vertical="center" wrapText="1"/>
    </x:xf>
    <x:xf numFmtId="0" fontId="13" fillId="8" borderId="1" xfId="0" applyNumberFormat="1" applyFont="1" applyFill="1" applyBorder="1"/>
    <x:xf numFmtId="0" fontId="13" fillId="8" borderId="1" xfId="0" applyNumberFormat="1" applyFont="1" applyFill="1" applyBorder="1" applyAlignment="1">
      <x:alignment wrapText="1"/>
    </x:xf>
    <x:xf numFmtId="0" fontId="13" fillId="8" borderId="1" xfId="0" applyNumberFormat="1" applyFont="1" applyFill="1" applyBorder="1" applyAlignment="1">
      <x:alignment vertical="center" wrapText="1"/>
    </x:xf>
    <x:xf numFmtId="0" fontId="7" fillId="10" borderId="0" xfId="0" applyNumberFormat="1" applyFont="1" applyFill="1" applyBorder="1"/>
    <x:xf numFmtId="0" fontId="7" fillId="10" borderId="0" xfId="0" applyNumberFormat="1" applyFont="1" applyFill="1" applyBorder="1" applyAlignment="1">
      <x:alignment wrapText="1"/>
    </x:xf>
    <x:xf numFmtId="0" fontId="7" fillId="10" borderId="0" xfId="0" applyNumberFormat="1" applyFont="1" applyFill="1" applyBorder="1" applyAlignment="1">
      <x:alignment vertical="center" wrapText="1"/>
    </x:xf>
    <x:xf numFmtId="0" fontId="7" fillId="10" borderId="1" xfId="0" applyNumberFormat="1" applyFont="1" applyFill="1" applyBorder="1"/>
    <x:xf numFmtId="0" fontId="7" fillId="10" borderId="1" xfId="0" applyNumberFormat="1" applyFont="1" applyFill="1" applyBorder="1" applyAlignment="1">
      <x:alignment wrapText="1"/>
    </x:xf>
    <x:xf numFmtId="0" fontId="7" fillId="10" borderId="1" xfId="0" applyNumberFormat="1" applyFont="1" applyFill="1" applyBorder="1" applyAlignment="1">
      <x:alignment vertical="center" wrapText="1"/>
    </x:xf>
    <x:xf numFmtId="0" fontId="19" fillId="9" borderId="0" xfId="0" applyNumberFormat="1" applyFont="1" applyFill="1" applyBorder="1" applyAlignment="1">
      <x:alignment horizontal="center" vertical="center" wrapText="1"/>
    </x:xf>
    <x:xf numFmtId="0" fontId="19" fillId="9" borderId="1" xfId="0" applyNumberFormat="1" applyFont="1" applyFill="1" applyBorder="1" applyAlignment="1">
      <x:alignment horizontal="center" vertical="center" wrapText="1"/>
    </x:xf>
    <x:xf numFmtId="200" fontId="19" fillId="9" borderId="0" xfId="0" applyNumberFormat="1" applyFont="1" applyFill="1" applyBorder="1" applyAlignment="1">
      <x:alignment horizontal="center" vertical="center" wrapText="1"/>
    </x:xf>
    <x:xf numFmtId="200" fontId="19" fillId="9" borderId="1" xfId="0" applyNumberFormat="1" applyFont="1" applyFill="1" applyBorder="1" applyAlignment="1">
      <x:alignment horizontal="center" vertical="center" wrapText="1"/>
    </x:xf>
    <x:xf numFmtId="0" fontId="14" fillId="10" borderId="0" xfId="0" applyNumberFormat="1" applyFont="1" applyFill="1" applyBorder="1" applyAlignment="1">
      <x:alignment vertical="center"/>
    </x:xf>
    <x:xf numFmtId="200" fontId="14" fillId="10" borderId="0" xfId="0" applyNumberFormat="1" applyFont="1" applyFill="1" applyBorder="1" applyAlignment="1">
      <x:alignment vertical="center"/>
    </x:xf>
    <x:xf numFmtId="0" fontId="14" fillId="0" borderId="0" xfId="0" applyNumberFormat="1" applyFont="1" applyFill="1" applyBorder="1" applyAlignment="1">
      <x:alignment vertical="center"/>
    </x:xf>
    <x:xf numFmtId="200" fontId="14" fillId="0" borderId="0" xfId="0" applyNumberFormat="1" applyFont="1" applyFill="1" applyBorder="1" applyAlignment="1">
      <x:alignment vertical="center"/>
    </x:xf>
    <x:xf numFmtId="200" fontId="12" fillId="2" borderId="0" xfId="0" applyNumberFormat="1" applyFont="1" applyFill="1" applyBorder="1" applyAlignment="1">
      <x:alignment vertical="center"/>
    </x:xf>
    <x:xf numFmtId="10" fontId="19" fillId="9" borderId="0" xfId="0" applyNumberFormat="1" applyFont="1" applyFill="1" applyBorder="1" applyAlignment="1">
      <x:alignment horizontal="center" vertical="center" wrapText="1"/>
    </x:xf>
  </x:cellXfs>
  <x:cellStyles count="1">
    <x:cellStyle name="Normal" xfId="0"/>
  </x:cellStyles>
  <x:dxfs count="82">
    <x:dxf>
      <x:font>
        <x:color rgb="FF20384D"/>
      </x:font>
      <x:fill>
        <x:patternFill>
          <x:bgColor rgb="FFEEF1F4"/>
        </x:patternFill>
      </x:fill>
    </x:dxf>
    <x:dxf>
      <x:font>
        <x:color rgb="FF20384D"/>
      </x:font>
      <x:fill>
        <x:patternFill>
          <x:bgColor rgb="FFFFF0BF"/>
        </x:patternFill>
      </x:fill>
    </x:dxf>
    <x:dxf>
      <x:font>
        <x:b/>
        <x:color rgb="FF20384D"/>
      </x:font>
      <x:fill>
        <x:patternFill>
          <x:bgColor rgb="FFD8F0E1"/>
        </x:patternFill>
      </x:fill>
    </x:dxf>
    <x:dxf>
      <x:font>
        <x:b/>
        <x:color rgb="FF20384D"/>
      </x:font>
      <x:fill>
        <x:patternFill>
          <x:bgColor rgb="FFFADDDD"/>
        </x:patternFill>
      </x:fill>
    </x:dxf>
    <x:dxf>
      <x:font>
        <x:color rgb="FF20384D"/>
      </x:font>
      <x:fill>
        <x:patternFill>
          <x:bgColor rgb="FFFFE7CA"/>
        </x:patternFill>
      </x:fill>
    </x:dxf>
    <x:dxf>
      <x:font>
        <x:color rgb="FF20384D"/>
      </x:font>
      <x:fill>
        <x:patternFill>
          <x:bgColor rgb="FFE9DFFA"/>
        </x:patternFill>
      </x:fill>
    </x:dxf>
    <x:dxf>
      <x:font>
        <x:color rgb="FF20384D"/>
      </x:font>
      <x:fill>
        <x:patternFill>
          <x:bgColor rgb="FFE7EAF0"/>
        </x:patternFill>
      </x:fill>
    </x:dxf>
    <x:dxf>
      <x:font>
        <x:b/>
        <x:color rgb="FF9A3B24"/>
      </x:font>
      <x:fill>
        <x:patternFill>
          <x:bgColor rgb="FFFCE6DC"/>
        </x:patternFill>
      </x:fill>
    </x:dxf>
    <x:dxf>
      <x:font>
        <x:color rgb="FF20384D"/>
      </x:font>
      <x:fill>
        <x:patternFill>
          <x:bgColor rgb="FFEEF1F4"/>
        </x:patternFill>
      </x:fill>
    </x:dxf>
    <x:dxf>
      <x:font>
        <x:color rgb="FF20384D"/>
      </x:font>
      <x:fill>
        <x:patternFill>
          <x:bgColor rgb="FFFFF0BF"/>
        </x:patternFill>
      </x:fill>
    </x:dxf>
    <x:dxf>
      <x:font>
        <x:b/>
        <x:color rgb="FF20384D"/>
      </x:font>
      <x:fill>
        <x:patternFill>
          <x:bgColor rgb="FFD8F0E1"/>
        </x:patternFill>
      </x:fill>
    </x:dxf>
    <x:dxf>
      <x:font>
        <x:b/>
        <x:color rgb="FF20384D"/>
      </x:font>
      <x:fill>
        <x:patternFill>
          <x:bgColor rgb="FFFADDDD"/>
        </x:patternFill>
      </x:fill>
    </x:dxf>
    <x:dxf>
      <x:font>
        <x:color rgb="FF20384D"/>
      </x:font>
      <x:fill>
        <x:patternFill>
          <x:bgColor rgb="FFFFE7CA"/>
        </x:patternFill>
      </x:fill>
    </x:dxf>
    <x:dxf>
      <x:font>
        <x:color rgb="FF20384D"/>
      </x:font>
      <x:fill>
        <x:patternFill>
          <x:bgColor rgb="FFE9DFFA"/>
        </x:patternFill>
      </x:fill>
    </x:dxf>
    <x:dxf>
      <x:font>
        <x:color rgb="FF20384D"/>
      </x:font>
      <x:fill>
        <x:patternFill>
          <x:bgColor rgb="FFE7EAF0"/>
        </x:patternFill>
      </x:fill>
    </x:dxf>
    <x:dxf>
      <x:font>
        <x:b/>
        <x:color rgb="FF9A3B24"/>
      </x:font>
      <x:fill>
        <x:patternFill>
          <x:bgColor rgb="FFFCE6DC"/>
        </x:patternFill>
      </x:fill>
    </x:dxf>
    <x:dxf>
      <x:font>
        <x:color rgb="FF20384D"/>
      </x:font>
      <x:fill>
        <x:patternFill>
          <x:bgColor rgb="FFEEF1F4"/>
        </x:patternFill>
      </x:fill>
    </x:dxf>
    <x:dxf>
      <x:font>
        <x:color rgb="FF20384D"/>
      </x:font>
      <x:fill>
        <x:patternFill>
          <x:bgColor rgb="FFFFF0BF"/>
        </x:patternFill>
      </x:fill>
    </x:dxf>
    <x:dxf>
      <x:font>
        <x:b/>
        <x:color rgb="FF20384D"/>
      </x:font>
      <x:fill>
        <x:patternFill>
          <x:bgColor rgb="FFD8F0E1"/>
        </x:patternFill>
      </x:fill>
    </x:dxf>
    <x:dxf>
      <x:font>
        <x:b/>
        <x:color rgb="FF20384D"/>
      </x:font>
      <x:fill>
        <x:patternFill>
          <x:bgColor rgb="FFFADDDD"/>
        </x:patternFill>
      </x:fill>
    </x:dxf>
    <x:dxf>
      <x:font>
        <x:color rgb="FF20384D"/>
      </x:font>
      <x:fill>
        <x:patternFill>
          <x:bgColor rgb="FFFFE7CA"/>
        </x:patternFill>
      </x:fill>
    </x:dxf>
    <x:dxf>
      <x:font>
        <x:color rgb="FF20384D"/>
      </x:font>
      <x:fill>
        <x:patternFill>
          <x:bgColor rgb="FFE9DFFA"/>
        </x:patternFill>
      </x:fill>
    </x:dxf>
    <x:dxf>
      <x:font>
        <x:color rgb="FF20384D"/>
      </x:font>
      <x:fill>
        <x:patternFill>
          <x:bgColor rgb="FFE7EAF0"/>
        </x:patternFill>
      </x:fill>
    </x:dxf>
    <x:dxf>
      <x:font>
        <x:b/>
        <x:color rgb="FF9A3B24"/>
      </x:font>
      <x:fill>
        <x:patternFill>
          <x:bgColor rgb="FFFCE6DC"/>
        </x:patternFill>
      </x:fill>
    </x:dxf>
    <x:dxf>
      <x:font>
        <x:color rgb="FF20384D"/>
      </x:font>
      <x:fill>
        <x:patternFill>
          <x:bgColor rgb="FFEEF1F4"/>
        </x:patternFill>
      </x:fill>
    </x:dxf>
    <x:dxf>
      <x:font>
        <x:color rgb="FF20384D"/>
      </x:font>
      <x:fill>
        <x:patternFill>
          <x:bgColor rgb="FFFFF0BF"/>
        </x:patternFill>
      </x:fill>
    </x:dxf>
    <x:dxf>
      <x:font>
        <x:b/>
        <x:color rgb="FF20384D"/>
      </x:font>
      <x:fill>
        <x:patternFill>
          <x:bgColor rgb="FFD8F0E1"/>
        </x:patternFill>
      </x:fill>
    </x:dxf>
    <x:dxf>
      <x:font>
        <x:b/>
        <x:color rgb="FF20384D"/>
      </x:font>
      <x:fill>
        <x:patternFill>
          <x:bgColor rgb="FFFADDDD"/>
        </x:patternFill>
      </x:fill>
    </x:dxf>
    <x:dxf>
      <x:font>
        <x:color rgb="FF20384D"/>
      </x:font>
      <x:fill>
        <x:patternFill>
          <x:bgColor rgb="FFFFE7CA"/>
        </x:patternFill>
      </x:fill>
    </x:dxf>
    <x:dxf>
      <x:font>
        <x:color rgb="FF20384D"/>
      </x:font>
      <x:fill>
        <x:patternFill>
          <x:bgColor rgb="FFE9DFFA"/>
        </x:patternFill>
      </x:fill>
    </x:dxf>
    <x:dxf>
      <x:font>
        <x:color rgb="FF20384D"/>
      </x:font>
      <x:fill>
        <x:patternFill>
          <x:bgColor rgb="FFE7EAF0"/>
        </x:patternFill>
      </x:fill>
    </x:dxf>
    <x:dxf>
      <x:font>
        <x:b/>
        <x:color rgb="FF9A3B24"/>
      </x:font>
      <x:fill>
        <x:patternFill>
          <x:bgColor rgb="FFFCE6DC"/>
        </x:patternFill>
      </x:fill>
    </x:dxf>
    <x:dxf>
      <x:font>
        <x:color rgb="FF20384D"/>
      </x:font>
      <x:fill>
        <x:patternFill>
          <x:bgColor rgb="FFEEF1F4"/>
        </x:patternFill>
      </x:fill>
    </x:dxf>
    <x:dxf>
      <x:font>
        <x:color rgb="FF20384D"/>
      </x:font>
      <x:fill>
        <x:patternFill>
          <x:bgColor rgb="FFFFF0BF"/>
        </x:patternFill>
      </x:fill>
    </x:dxf>
    <x:dxf>
      <x:font>
        <x:b/>
        <x:color rgb="FF20384D"/>
      </x:font>
      <x:fill>
        <x:patternFill>
          <x:bgColor rgb="FFD8F0E1"/>
        </x:patternFill>
      </x:fill>
    </x:dxf>
    <x:dxf>
      <x:font>
        <x:b/>
        <x:color rgb="FF20384D"/>
      </x:font>
      <x:fill>
        <x:patternFill>
          <x:bgColor rgb="FFFADDDD"/>
        </x:patternFill>
      </x:fill>
    </x:dxf>
    <x:dxf>
      <x:font>
        <x:color rgb="FF20384D"/>
      </x:font>
      <x:fill>
        <x:patternFill>
          <x:bgColor rgb="FFFFE7CA"/>
        </x:patternFill>
      </x:fill>
    </x:dxf>
    <x:dxf>
      <x:font>
        <x:color rgb="FF20384D"/>
      </x:font>
      <x:fill>
        <x:patternFill>
          <x:bgColor rgb="FFE9DFFA"/>
        </x:patternFill>
      </x:fill>
    </x:dxf>
    <x:dxf>
      <x:font>
        <x:color rgb="FF20384D"/>
      </x:font>
      <x:fill>
        <x:patternFill>
          <x:bgColor rgb="FFE7EAF0"/>
        </x:patternFill>
      </x:fill>
    </x:dxf>
    <x:dxf>
      <x:font>
        <x:b/>
        <x:color rgb="FF9A3B24"/>
      </x:font>
      <x:fill>
        <x:patternFill>
          <x:bgColor rgb="FFFCE6DC"/>
        </x:patternFill>
      </x:fill>
    </x:dxf>
    <x:dxf>
      <x:font>
        <x:color rgb="FF20384D"/>
      </x:font>
      <x:fill>
        <x:patternFill>
          <x:bgColor rgb="FFEEF1F4"/>
        </x:patternFill>
      </x:fill>
    </x:dxf>
    <x:dxf>
      <x:font>
        <x:color rgb="FF20384D"/>
      </x:font>
      <x:fill>
        <x:patternFill>
          <x:bgColor rgb="FFFFF0BF"/>
        </x:patternFill>
      </x:fill>
    </x:dxf>
    <x:dxf>
      <x:font>
        <x:b/>
        <x:color rgb="FF20384D"/>
      </x:font>
      <x:fill>
        <x:patternFill>
          <x:bgColor rgb="FFD8F0E1"/>
        </x:patternFill>
      </x:fill>
    </x:dxf>
    <x:dxf>
      <x:font>
        <x:b/>
        <x:color rgb="FF20384D"/>
      </x:font>
      <x:fill>
        <x:patternFill>
          <x:bgColor rgb="FFFADDDD"/>
        </x:patternFill>
      </x:fill>
    </x:dxf>
    <x:dxf>
      <x:font>
        <x:color rgb="FF20384D"/>
      </x:font>
      <x:fill>
        <x:patternFill>
          <x:bgColor rgb="FFFFE7CA"/>
        </x:patternFill>
      </x:fill>
    </x:dxf>
    <x:dxf>
      <x:font>
        <x:color rgb="FF20384D"/>
      </x:font>
      <x:fill>
        <x:patternFill>
          <x:bgColor rgb="FFE9DFFA"/>
        </x:patternFill>
      </x:fill>
    </x:dxf>
    <x:dxf>
      <x:font>
        <x:color rgb="FF20384D"/>
      </x:font>
      <x:fill>
        <x:patternFill>
          <x:bgColor rgb="FFE7EAF0"/>
        </x:patternFill>
      </x:fill>
    </x:dxf>
    <x:dxf>
      <x:font>
        <x:b/>
        <x:color rgb="FF9A3B24"/>
      </x:font>
      <x:fill>
        <x:patternFill>
          <x:bgColor rgb="FFFCE6DC"/>
        </x:patternFill>
      </x:fill>
    </x:dxf>
    <x:dxf>
      <x:font>
        <x:color rgb="FF20384D"/>
      </x:font>
      <x:fill>
        <x:patternFill>
          <x:bgColor rgb="FFEEF1F4"/>
        </x:patternFill>
      </x:fill>
    </x:dxf>
    <x:dxf>
      <x:font>
        <x:color rgb="FF20384D"/>
      </x:font>
      <x:fill>
        <x:patternFill>
          <x:bgColor rgb="FFFFF0BF"/>
        </x:patternFill>
      </x:fill>
    </x:dxf>
    <x:dxf>
      <x:font>
        <x:b/>
        <x:color rgb="FF20384D"/>
      </x:font>
      <x:fill>
        <x:patternFill>
          <x:bgColor rgb="FFD8F0E1"/>
        </x:patternFill>
      </x:fill>
    </x:dxf>
    <x:dxf>
      <x:font>
        <x:b/>
        <x:color rgb="FF20384D"/>
      </x:font>
      <x:fill>
        <x:patternFill>
          <x:bgColor rgb="FFFADDDD"/>
        </x:patternFill>
      </x:fill>
    </x:dxf>
    <x:dxf>
      <x:font>
        <x:color rgb="FF20384D"/>
      </x:font>
      <x:fill>
        <x:patternFill>
          <x:bgColor rgb="FFFFE7CA"/>
        </x:patternFill>
      </x:fill>
    </x:dxf>
    <x:dxf>
      <x:font>
        <x:color rgb="FF20384D"/>
      </x:font>
      <x:fill>
        <x:patternFill>
          <x:bgColor rgb="FFE9DFFA"/>
        </x:patternFill>
      </x:fill>
    </x:dxf>
    <x:dxf>
      <x:font>
        <x:color rgb="FF20384D"/>
      </x:font>
      <x:fill>
        <x:patternFill>
          <x:bgColor rgb="FFE7EAF0"/>
        </x:patternFill>
      </x:fill>
    </x:dxf>
    <x:dxf>
      <x:font>
        <x:b/>
        <x:color rgb="FF9A3B24"/>
      </x:font>
      <x:fill>
        <x:patternFill>
          <x:bgColor rgb="FFFCE6DC"/>
        </x:patternFill>
      </x:fill>
    </x:dxf>
    <x:dxf>
      <x:font>
        <x:color rgb="FF20384D"/>
      </x:font>
      <x:fill>
        <x:patternFill>
          <x:bgColor rgb="FFEEF1F4"/>
        </x:patternFill>
      </x:fill>
    </x:dxf>
    <x:dxf>
      <x:font>
        <x:color rgb="FF20384D"/>
      </x:font>
      <x:fill>
        <x:patternFill>
          <x:bgColor rgb="FFFFF0BF"/>
        </x:patternFill>
      </x:fill>
    </x:dxf>
    <x:dxf>
      <x:font>
        <x:b/>
        <x:color rgb="FF20384D"/>
      </x:font>
      <x:fill>
        <x:patternFill>
          <x:bgColor rgb="FFD8F0E1"/>
        </x:patternFill>
      </x:fill>
    </x:dxf>
    <x:dxf>
      <x:font>
        <x:b/>
        <x:color rgb="FF20384D"/>
      </x:font>
      <x:fill>
        <x:patternFill>
          <x:bgColor rgb="FFFADDDD"/>
        </x:patternFill>
      </x:fill>
    </x:dxf>
    <x:dxf>
      <x:font>
        <x:color rgb="FF20384D"/>
      </x:font>
      <x:fill>
        <x:patternFill>
          <x:bgColor rgb="FFFFE7CA"/>
        </x:patternFill>
      </x:fill>
    </x:dxf>
    <x:dxf>
      <x:font>
        <x:color rgb="FF20384D"/>
      </x:font>
      <x:fill>
        <x:patternFill>
          <x:bgColor rgb="FFE9DFFA"/>
        </x:patternFill>
      </x:fill>
    </x:dxf>
    <x:dxf>
      <x:font>
        <x:color rgb="FF20384D"/>
      </x:font>
      <x:fill>
        <x:patternFill>
          <x:bgColor rgb="FFE7EAF0"/>
        </x:patternFill>
      </x:fill>
    </x:dxf>
    <x:dxf>
      <x:font>
        <x:b/>
        <x:color rgb="FF9A3B24"/>
      </x:font>
      <x:fill>
        <x:patternFill>
          <x:bgColor rgb="FFFCE6DC"/>
        </x:patternFill>
      </x:fill>
    </x:dxf>
    <x:dxf>
      <x:font>
        <x:color rgb="FF20384D"/>
      </x:font>
      <x:fill>
        <x:patternFill>
          <x:bgColor rgb="FFEEF1F4"/>
        </x:patternFill>
      </x:fill>
    </x:dxf>
    <x:dxf>
      <x:font>
        <x:color rgb="FF20384D"/>
      </x:font>
      <x:fill>
        <x:patternFill>
          <x:bgColor rgb="FFFFF0BF"/>
        </x:patternFill>
      </x:fill>
    </x:dxf>
    <x:dxf>
      <x:font>
        <x:b/>
        <x:color rgb="FF20384D"/>
      </x:font>
      <x:fill>
        <x:patternFill>
          <x:bgColor rgb="FFD8F0E1"/>
        </x:patternFill>
      </x:fill>
    </x:dxf>
    <x:dxf>
      <x:font>
        <x:b/>
        <x:color rgb="FF20384D"/>
      </x:font>
      <x:fill>
        <x:patternFill>
          <x:bgColor rgb="FFFADDDD"/>
        </x:patternFill>
      </x:fill>
    </x:dxf>
    <x:dxf>
      <x:font>
        <x:color rgb="FF20384D"/>
      </x:font>
      <x:fill>
        <x:patternFill>
          <x:bgColor rgb="FFFFE7CA"/>
        </x:patternFill>
      </x:fill>
    </x:dxf>
    <x:dxf>
      <x:font>
        <x:color rgb="FF20384D"/>
      </x:font>
      <x:fill>
        <x:patternFill>
          <x:bgColor rgb="FFE9DFFA"/>
        </x:patternFill>
      </x:fill>
    </x:dxf>
    <x:dxf>
      <x:font>
        <x:color rgb="FF20384D"/>
      </x:font>
      <x:fill>
        <x:patternFill>
          <x:bgColor rgb="FFE7EAF0"/>
        </x:patternFill>
      </x:fill>
    </x:dxf>
    <x:dxf>
      <x:font>
        <x:b/>
        <x:color rgb="FF9A3B24"/>
      </x:font>
      <x:fill>
        <x:patternFill>
          <x:bgColor rgb="FFFCE6DC"/>
        </x:patternFill>
      </x:fill>
    </x:dxf>
    <x:dxf>
      <x:font>
        <x:color rgb="FF20384D"/>
      </x:font>
      <x:fill>
        <x:patternFill>
          <x:bgColor rgb="FFEEF1F4"/>
        </x:patternFill>
      </x:fill>
    </x:dxf>
    <x:dxf>
      <x:font>
        <x:color rgb="FF20384D"/>
      </x:font>
      <x:fill>
        <x:patternFill>
          <x:bgColor rgb="FFFFF0BF"/>
        </x:patternFill>
      </x:fill>
    </x:dxf>
    <x:dxf>
      <x:font>
        <x:b/>
        <x:color rgb="FF20384D"/>
      </x:font>
      <x:fill>
        <x:patternFill>
          <x:bgColor rgb="FFD8F0E1"/>
        </x:patternFill>
      </x:fill>
    </x:dxf>
    <x:dxf>
      <x:font>
        <x:b/>
        <x:color rgb="FF20384D"/>
      </x:font>
      <x:fill>
        <x:patternFill>
          <x:bgColor rgb="FFFADDDD"/>
        </x:patternFill>
      </x:fill>
    </x:dxf>
    <x:dxf>
      <x:font>
        <x:color rgb="FF20384D"/>
      </x:font>
      <x:fill>
        <x:patternFill>
          <x:bgColor rgb="FFFFE7CA"/>
        </x:patternFill>
      </x:fill>
    </x:dxf>
    <x:dxf>
      <x:font>
        <x:color rgb="FF20384D"/>
      </x:font>
      <x:fill>
        <x:patternFill>
          <x:bgColor rgb="FFE9DFFA"/>
        </x:patternFill>
      </x:fill>
    </x:dxf>
    <x:dxf>
      <x:font>
        <x:color rgb="FF20384D"/>
      </x:font>
      <x:fill>
        <x:patternFill>
          <x:bgColor rgb="FFE7EAF0"/>
        </x:patternFill>
      </x:fill>
    </x:dxf>
    <x:dxf>
      <x:font>
        <x:b/>
        <x:color rgb="FF9A3B24"/>
      </x:font>
      <x:fill>
        <x:patternFill>
          <x:bgColor rgb="FFFCE6DC"/>
        </x:patternFill>
      </x:fill>
    </x:dxf>
    <x:dxf>
      <x:font>
        <x:b/>
        <x:color rgb="FF92302A"/>
      </x:font>
      <x:fill>
        <x:patternFill>
          <x:bgColor rgb="FFFADDDD"/>
        </x:patternFill>
      </x:fill>
    </x:dxf>
    <x:dxf>
      <x:font>
        <x:color rgb="FF80520F"/>
      </x:font>
      <x:fill>
        <x:patternFill>
          <x:bgColor rgb="FFFFF0D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d108ce63d254300" /><Relationship Type="http://schemas.openxmlformats.org/officeDocument/2006/relationships/theme" Target="/xl/theme/theme1.xml" Id="Recbf3dd4e7214723" /><Relationship Type="http://schemas.openxmlformats.org/officeDocument/2006/relationships/sharedStrings" Target="/xl/sharedStrings.xml" Id="R303bcbb164cf4246" /><Relationship Type="http://schemas.openxmlformats.org/officeDocument/2006/relationships/worksheet" Target="/xl/worksheets/sheet1.xml" Id="R63192e2c55aa4409" /><Relationship Type="http://schemas.openxmlformats.org/officeDocument/2006/relationships/worksheet" Target="/xl/worksheets/sheet2.xml" Id="R9db013245f334ea7" /><Relationship Type="http://schemas.openxmlformats.org/officeDocument/2006/relationships/worksheet" Target="/xl/worksheets/sheet3.xml" Id="R1ffc22857c47450b" /><Relationship Type="http://schemas.openxmlformats.org/officeDocument/2006/relationships/worksheet" Target="/xl/worksheets/sheet4.xml" Id="R54700e24bca747f6" /><Relationship Type="http://schemas.openxmlformats.org/officeDocument/2006/relationships/worksheet" Target="/xl/worksheets/sheet5.xml" Id="Re23718c045ab4b67" /><Relationship Type="http://schemas.openxmlformats.org/officeDocument/2006/relationships/worksheet" Target="/xl/worksheets/sheet6.xml" Id="Rc472ae15f3e74473" /><Relationship Type="http://schemas.openxmlformats.org/officeDocument/2006/relationships/worksheet" Target="/xl/worksheets/sheet7.xml" Id="Rad9eac13f0664975" /><Relationship Type="http://schemas.openxmlformats.org/officeDocument/2006/relationships/worksheet" Target="/xl/worksheets/sheet8.xml" Id="R2b42597319044246" /><Relationship Type="http://schemas.openxmlformats.org/officeDocument/2006/relationships/worksheet" Target="/xl/worksheets/sheet9.xml" Id="R48045bb8541245de" /><Relationship Type="http://schemas.openxmlformats.org/officeDocument/2006/relationships/worksheet" Target="/xl/worksheets/sheet10.xml" Id="R09e3737bee324e7b" /><Relationship Type="http://schemas.openxmlformats.org/officeDocument/2006/relationships/worksheet" Target="/xl/worksheets/sheet11.xml" Id="R635a1ebe933e4efa" /><Relationship Type="http://schemas.openxmlformats.org/officeDocument/2006/relationships/worksheet" Target="/xl/worksheets/sheet12.xml" Id="Rdf8eeed93e024f84" /><Relationship Type="http://schemas.openxmlformats.org/officeDocument/2006/relationships/worksheet" Target="/xl/worksheets/sheet13.xml" Id="R806aa46ca35f4222" /><Relationship Type="http://schemas.openxmlformats.org/officeDocument/2006/relationships/worksheet" Target="/xl/worksheets/sheet14.xml" Id="R38fdf44b566543c8" /><Relationship Type="http://schemas.openxmlformats.org/officeDocument/2006/relationships/worksheet" Target="/xl/worksheets/sheet15.xml" Id="Rf25f58aeb0254829" /><Relationship Type="http://schemas.openxmlformats.org/officeDocument/2006/relationships/worksheet" Target="/xl/worksheets/sheet16.xml" Id="R9650523b24744470" /></Relationships>
</file>

<file path=xl/tables/table1.xml><?xml version="1.0" encoding="utf-8"?>
<x:table xmlns:x="http://schemas.openxmlformats.org/spreadsheetml/2006/main" id="11" name="SessionsTable" displayName="SessionsTable" ref="A8:O38" headerRowCount="1" totalsRowCount="0" totalsRowShown="0">
  <x:tableColumns count="15">
    <x:tableColumn id="1" name="Session ID"/>
    <x:tableColumn id="2" name="Environment"/>
    <x:tableColumn id="3" name="Base URL"/>
    <x:tableColumn id="4" name="Actually tested SHA"/>
    <x:tableColumn id="5" name="Computer / device"/>
    <x:tableColumn id="6" name="OS / version"/>
    <x:tableColumn id="7" name="Browser / version"/>
    <x:tableColumn id="8" name="Viewport CSS px"/>
    <x:tableColumn id="9" name="Actual iframe px"/>
    <x:tableColumn id="10" name="Zoom / DPR"/>
    <x:tableColumn id="11" name="Input method"/>
    <x:tableColumn id="12" name="Tester"/>
    <x:tableColumn id="13" name="Started date"/>
    <x:tableColumn id="14" name="Browser profile"/>
    <x:tableColumn id="15" name="Notes / constraints"/>
  </x:tableColumns>
  <x:tableStyleInfo name="TableStyleMedium2" showFirstColumn="0" showLastColumn="0" showRowStripes="1" showColumnStripes="0"/>
</x:table>
</file>

<file path=xl/tables/table2.xml><?xml version="1.0" encoding="utf-8"?>
<x:table xmlns:x="http://schemas.openxmlformats.org/spreadsheetml/2006/main" id="1" name="QA_WEB" displayName="QA_WEB" ref="A8:O42" headerRowCount="1" totalsRowCount="0" totalsRowShown="0">
  <x:tableColumns count="15">
    <x:tableColumn id="1" name="Test ID"/>
    <x:tableColumn id="2" name="Environment"/>
    <x:tableColumn id="3" name="Priority"/>
    <x:tableColumn id="4" name="Test / feature"/>
    <x:tableColumn id="5" name="Status"/>
    <x:tableColumn id="6" name="Actual result / notes"/>
    <x:tableColumn id="7" name="Setup / caution"/>
    <x:tableColumn id="8" name="Steps to perform"/>
    <x:tableColumn id="9" name="Expected result"/>
    <x:tableColumn id="10" name="Evidence link / file"/>
    <x:tableColumn id="11" name="Bug ID(s)"/>
    <x:tableColumn id="12" name="Session ID"/>
    <x:tableColumn id="13" name="Tester"/>
    <x:tableColumn id="14" name="Test date"/>
    <x:tableColumn id="15" name="Source / baseline reference"/>
  </x:tableColumns>
  <x:tableStyleInfo name="TableStyleMedium2" showFirstColumn="0" showLastColumn="0" showRowStripes="1" showColumnStripes="0"/>
</x:table>
</file>

<file path=xl/tables/table3.xml><?xml version="1.0" encoding="utf-8"?>
<x:table xmlns:x="http://schemas.openxmlformats.org/spreadsheetml/2006/main" id="2" name="QA_ORB" displayName="QA_ORB" ref="A8:O36" headerRowCount="1" totalsRowCount="0" totalsRowShown="0">
  <x:tableColumns count="15">
    <x:tableColumn id="1" name="Test ID"/>
    <x:tableColumn id="2" name="Environment"/>
    <x:tableColumn id="3" name="Priority"/>
    <x:tableColumn id="4" name="Test / feature"/>
    <x:tableColumn id="5" name="Status"/>
    <x:tableColumn id="6" name="Actual result / notes"/>
    <x:tableColumn id="7" name="Setup / caution"/>
    <x:tableColumn id="8" name="Steps to perform"/>
    <x:tableColumn id="9" name="Expected result"/>
    <x:tableColumn id="10" name="Evidence link / file"/>
    <x:tableColumn id="11" name="Bug ID(s)"/>
    <x:tableColumn id="12" name="Session ID"/>
    <x:tableColumn id="13" name="Tester"/>
    <x:tableColumn id="14" name="Test date"/>
    <x:tableColumn id="15" name="Source / baseline reference"/>
  </x:tableColumns>
  <x:tableStyleInfo name="TableStyleMedium2" showFirstColumn="0" showLastColumn="0" showRowStripes="1" showColumnStripes="0"/>
</x:table>
</file>

<file path=xl/tables/table4.xml><?xml version="1.0" encoding="utf-8"?>
<x:table xmlns:x="http://schemas.openxmlformats.org/spreadsheetml/2006/main" id="3" name="QA_REA" displayName="QA_REA" ref="A8:O34" headerRowCount="1" totalsRowCount="0" totalsRowShown="0">
  <x:tableColumns count="15">
    <x:tableColumn id="1" name="Test ID"/>
    <x:tableColumn id="2" name="Environment"/>
    <x:tableColumn id="3" name="Priority"/>
    <x:tableColumn id="4" name="Test / feature"/>
    <x:tableColumn id="5" name="Status"/>
    <x:tableColumn id="6" name="Actual result / notes"/>
    <x:tableColumn id="7" name="Setup / caution"/>
    <x:tableColumn id="8" name="Steps to perform"/>
    <x:tableColumn id="9" name="Expected result"/>
    <x:tableColumn id="10" name="Evidence link / file"/>
    <x:tableColumn id="11" name="Bug ID(s)"/>
    <x:tableColumn id="12" name="Session ID"/>
    <x:tableColumn id="13" name="Tester"/>
    <x:tableColumn id="14" name="Test date"/>
    <x:tableColumn id="15" name="Source / baseline reference"/>
  </x:tableColumns>
  <x:tableStyleInfo name="TableStyleMedium2" showFirstColumn="0" showLastColumn="0" showRowStripes="1" showColumnStripes="0"/>
</x:table>
</file>

<file path=xl/tables/table5.xml><?xml version="1.0" encoding="utf-8"?>
<x:table xmlns:x="http://schemas.openxmlformats.org/spreadsheetml/2006/main" id="4" name="QA_ADS" displayName="QA_ADS" ref="A8:O54" headerRowCount="1" totalsRowCount="0" totalsRowShown="0">
  <x:tableColumns count="15">
    <x:tableColumn id="1" name="Test ID"/>
    <x:tableColumn id="2" name="Environment"/>
    <x:tableColumn id="3" name="Priority"/>
    <x:tableColumn id="4" name="Test / feature"/>
    <x:tableColumn id="5" name="Status"/>
    <x:tableColumn id="6" name="Actual result / notes"/>
    <x:tableColumn id="7" name="Setup / caution"/>
    <x:tableColumn id="8" name="Steps to perform"/>
    <x:tableColumn id="9" name="Expected result"/>
    <x:tableColumn id="10" name="Evidence link / file"/>
    <x:tableColumn id="11" name="Bug ID(s)"/>
    <x:tableColumn id="12" name="Session ID"/>
    <x:tableColumn id="13" name="Tester"/>
    <x:tableColumn id="14" name="Test date"/>
    <x:tableColumn id="15" name="Source / baseline reference"/>
  </x:tableColumns>
  <x:tableStyleInfo name="TableStyleMedium2" showFirstColumn="0" showLastColumn="0" showRowStripes="1" showColumnStripes="0"/>
</x:table>
</file>

<file path=xl/tables/table6.xml><?xml version="1.0" encoding="utf-8"?>
<x:table xmlns:x="http://schemas.openxmlformats.org/spreadsheetml/2006/main" id="5" name="QA_OAD" displayName="QA_OAD" ref="A8:O36" headerRowCount="1" totalsRowCount="0" totalsRowShown="0">
  <x:tableColumns count="15">
    <x:tableColumn id="1" name="Test ID"/>
    <x:tableColumn id="2" name="Environment"/>
    <x:tableColumn id="3" name="Priority"/>
    <x:tableColumn id="4" name="Test / feature"/>
    <x:tableColumn id="5" name="Status"/>
    <x:tableColumn id="6" name="Actual result / notes"/>
    <x:tableColumn id="7" name="Setup / caution"/>
    <x:tableColumn id="8" name="Steps to perform"/>
    <x:tableColumn id="9" name="Expected result"/>
    <x:tableColumn id="10" name="Evidence link / file"/>
    <x:tableColumn id="11" name="Bug ID(s)"/>
    <x:tableColumn id="12" name="Session ID"/>
    <x:tableColumn id="13" name="Tester"/>
    <x:tableColumn id="14" name="Test date"/>
    <x:tableColumn id="15" name="Source / baseline reference"/>
  </x:tableColumns>
  <x:tableStyleInfo name="TableStyleMedium2" showFirstColumn="0" showLastColumn="0" showRowStripes="1" showColumnStripes="0"/>
</x:table>
</file>

<file path=xl/tables/table7.xml><?xml version="1.0" encoding="utf-8"?>
<x:table xmlns:x="http://schemas.openxmlformats.org/spreadsheetml/2006/main" id="6" name="QA_RAD" displayName="QA_RAD" ref="A8:O43" headerRowCount="1" totalsRowCount="0" totalsRowShown="0">
  <x:tableColumns count="15">
    <x:tableColumn id="1" name="Test ID"/>
    <x:tableColumn id="2" name="Environment"/>
    <x:tableColumn id="3" name="Priority"/>
    <x:tableColumn id="4" name="Test / feature"/>
    <x:tableColumn id="5" name="Status"/>
    <x:tableColumn id="6" name="Actual result / notes"/>
    <x:tableColumn id="7" name="Setup / caution"/>
    <x:tableColumn id="8" name="Steps to perform"/>
    <x:tableColumn id="9" name="Expected result"/>
    <x:tableColumn id="10" name="Evidence link / file"/>
    <x:tableColumn id="11" name="Bug ID(s)"/>
    <x:tableColumn id="12" name="Session ID"/>
    <x:tableColumn id="13" name="Tester"/>
    <x:tableColumn id="14" name="Test date"/>
    <x:tableColumn id="15" name="Source / baseline reference"/>
  </x:tableColumns>
  <x:tableStyleInfo name="TableStyleMedium2" showFirstColumn="0" showLastColumn="0" showRowStripes="1" showColumnStripes="0"/>
</x:table>
</file>

<file path=xl/tables/table8.xml><?xml version="1.0" encoding="utf-8"?>
<x:table xmlns:x="http://schemas.openxmlformats.org/spreadsheetml/2006/main" id="7" name="QA_DEV" displayName="QA_DEV" ref="A8:O67" headerRowCount="1" totalsRowCount="0" totalsRowShown="0">
  <x:tableColumns count="15">
    <x:tableColumn id="1" name="Test ID"/>
    <x:tableColumn id="2" name="Environment"/>
    <x:tableColumn id="3" name="Priority"/>
    <x:tableColumn id="4" name="Test / feature"/>
    <x:tableColumn id="5" name="Status"/>
    <x:tableColumn id="6" name="Actual result / notes"/>
    <x:tableColumn id="7" name="Setup / caution"/>
    <x:tableColumn id="8" name="Steps to perform"/>
    <x:tableColumn id="9" name="Expected result"/>
    <x:tableColumn id="10" name="Evidence link / file"/>
    <x:tableColumn id="11" name="Bug ID(s)"/>
    <x:tableColumn id="12" name="Session ID"/>
    <x:tableColumn id="13" name="Tester"/>
    <x:tableColumn id="14" name="Test date"/>
    <x:tableColumn id="15" name="Source / baseline reference"/>
  </x:tableColumns>
  <x:tableStyleInfo name="TableStyleMedium2" showFirstColumn="0" showLastColumn="0" showRowStripes="1" showColumnStripes="0"/>
</x:table>
</file>

<file path=xl/tables/table9.xml><?xml version="1.0" encoding="utf-8"?>
<x:table xmlns:x="http://schemas.openxmlformats.org/spreadsheetml/2006/main" id="8" name="QA_SYS" displayName="QA_SYS" ref="A8:O35" headerRowCount="1" totalsRowCount="0" totalsRowShown="0">
  <x:tableColumns count="15">
    <x:tableColumn id="1" name="Test ID"/>
    <x:tableColumn id="2" name="Environment"/>
    <x:tableColumn id="3" name="Priority"/>
    <x:tableColumn id="4" name="Test / feature"/>
    <x:tableColumn id="5" name="Status"/>
    <x:tableColumn id="6" name="Actual result / notes"/>
    <x:tableColumn id="7" name="Setup / caution"/>
    <x:tableColumn id="8" name="Steps to perform"/>
    <x:tableColumn id="9" name="Expected result"/>
    <x:tableColumn id="10" name="Evidence link / file"/>
    <x:tableColumn id="11" name="Bug ID(s)"/>
    <x:tableColumn id="12" name="Session ID"/>
    <x:tableColumn id="13" name="Tester"/>
    <x:tableColumn id="14" name="Test date"/>
    <x:tableColumn id="15" name="Source / baseline reference"/>
  </x:tableColumns>
  <x:tableStyleInfo name="TableStyleMedium2" showFirstColumn="0" showLastColumn="0" showRowStripes="1" showColumnStripes="0"/>
</x:table>
</file>

<file path=xl/tables/table10.xml><?xml version="1.0" encoding="utf-8"?>
<x:table xmlns:x="http://schemas.openxmlformats.org/spreadsheetml/2006/main" id="9" name="QA_PROD" displayName="QA_PROD" ref="A8:O23" headerRowCount="1" totalsRowCount="0" totalsRowShown="0">
  <x:tableColumns count="15">
    <x:tableColumn id="1" name="Test ID"/>
    <x:tableColumn id="2" name="Environment"/>
    <x:tableColumn id="3" name="Priority"/>
    <x:tableColumn id="4" name="Test / feature"/>
    <x:tableColumn id="5" name="Status"/>
    <x:tableColumn id="6" name="Actual result / notes"/>
    <x:tableColumn id="7" name="Setup / caution"/>
    <x:tableColumn id="8" name="Steps to perform"/>
    <x:tableColumn id="9" name="Expected result"/>
    <x:tableColumn id="10" name="Evidence link / file"/>
    <x:tableColumn id="11" name="Bug ID(s)"/>
    <x:tableColumn id="12" name="Session ID"/>
    <x:tableColumn id="13" name="Tester"/>
    <x:tableColumn id="14" name="Test date"/>
    <x:tableColumn id="15" name="Source / baseline reference"/>
  </x:tableColumns>
  <x:tableStyleInfo name="TableStyleMedium2" showFirstColumn="0" showLastColumn="0" showRowStripes="1" showColumnStripes="0"/>
</x:table>
</file>

<file path=xl/tables/table11.xml><?xml version="1.0" encoding="utf-8"?>
<x:table xmlns:x="http://schemas.openxmlformats.org/spreadsheetml/2006/main" id="10" name="QA_MOB" displayName="QA_MOB" ref="A8:O42" headerRowCount="1" totalsRowCount="0" totalsRowShown="0">
  <x:tableColumns count="15">
    <x:tableColumn id="1" name="Test ID"/>
    <x:tableColumn id="2" name="Environment"/>
    <x:tableColumn id="3" name="Priority"/>
    <x:tableColumn id="4" name="Test / feature"/>
    <x:tableColumn id="5" name="Status"/>
    <x:tableColumn id="6" name="Actual result / notes"/>
    <x:tableColumn id="7" name="Setup / caution"/>
    <x:tableColumn id="8" name="Steps to perform"/>
    <x:tableColumn id="9" name="Expected result"/>
    <x:tableColumn id="10" name="Evidence link / file"/>
    <x:tableColumn id="11" name="Bug ID(s)"/>
    <x:tableColumn id="12" name="Session ID"/>
    <x:tableColumn id="13" name="Tester"/>
    <x:tableColumn id="14" name="Test date"/>
    <x:tableColumn id="15" name="Source / baseline reference"/>
  </x:tableColumns>
  <x:tableStyleInfo name="TableStyleMedium2" showFirstColumn="0" showLastColumn="0" showRowStripes="1" showColumnStripes="0"/>
</x:table>
</file>

<file path=xl/tables/table12.xml><?xml version="1.0" encoding="utf-8"?>
<x:table xmlns:x="http://schemas.openxmlformats.org/spreadsheetml/2006/main" id="12" name="BugLogTable" displayName="BugLogTable" ref="A8:P48" headerRowCount="1" totalsRowCount="0" totalsRowShown="0">
  <x:tableColumns count="16">
    <x:tableColumn id="1" name="Bug ID"/>
    <x:tableColumn id="2" name="Linked test ID(s)"/>
    <x:tableColumn id="3" name="Environment"/>
    <x:tableColumn id="4" name="Severity"/>
    <x:tableColumn id="5" name="Bug status"/>
    <x:tableColumn id="6" name="Short title"/>
    <x:tableColumn id="7" name="Expected"/>
    <x:tableColumn id="8" name="Actual"/>
    <x:tableColumn id="9" name="Reproduction steps"/>
    <x:tableColumn id="10" name="Evidence"/>
    <x:tableColumn id="11" name="Session ID"/>
    <x:tableColumn id="12" name="Found in SHA"/>
    <x:tableColumn id="13" name="Fix PR / SHA"/>
    <x:tableColumn id="14" name="Retest result"/>
    <x:tableColumn id="15" name="Owner / retest date"/>
    <x:tableColumn id="16" name="Notes / decision"/>
  </x:tableColumns>
  <x:tableStyleInfo name="TableStyleMedium2" showFirstColumn="0" showLastColumn="0" showRowStripes="1" showColumnStripes="0"/>
</x:table>
</file>

<file path=xl/tables/table13.xml><?xml version="1.0" encoding="utf-8"?>
<x:table xmlns:x="http://schemas.openxmlformats.org/spreadsheetml/2006/main" id="13" name="SourcesTable" displayName="SourcesTable" ref="A8:E29" headerRowCount="1" totalsRowCount="0" totalsRowShown="0">
  <x:tableColumns count="5">
    <x:tableColumn id="1" name="Source ID"/>
    <x:tableColumn id="2" name="Reference"/>
    <x:tableColumn id="3" name="Scope / meaning"/>
    <x:tableColumn id="4" name="Source URL"/>
    <x:tableColumn id="5" name="Evidence limit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bf671f089b8c482a" /></Relationships>
</file>

<file path=xl/worksheets/_rels/sheet4.xml.rels>&#65279;<?xml version="1.0" encoding="utf-8"?><Relationships xmlns="http://schemas.openxmlformats.org/package/2006/relationships"><Relationship Type="http://schemas.openxmlformats.org/officeDocument/2006/relationships/table" Target="/xl/tables/table2.xml" Id="Rf6ed0486e5634c0a" /></Relationships>
</file>

<file path=xl/worksheets/_rels/sheet5.xml.rels>&#65279;<?xml version="1.0" encoding="utf-8"?><Relationships xmlns="http://schemas.openxmlformats.org/package/2006/relationships"><Relationship Type="http://schemas.openxmlformats.org/officeDocument/2006/relationships/table" Target="/xl/tables/table3.xml" Id="Rcd05e98cb5c64c14" /></Relationships>
</file>

<file path=xl/worksheets/_rels/sheet6.xml.rels>&#65279;<?xml version="1.0" encoding="utf-8"?><Relationships xmlns="http://schemas.openxmlformats.org/package/2006/relationships"><Relationship Type="http://schemas.openxmlformats.org/officeDocument/2006/relationships/table" Target="/xl/tables/table4.xml" Id="R1226bbd54a434ae4" /></Relationships>
</file>

<file path=xl/worksheets/_rels/sheet7.xml.rels>&#65279;<?xml version="1.0" encoding="utf-8"?><Relationships xmlns="http://schemas.openxmlformats.org/package/2006/relationships"><Relationship Type="http://schemas.openxmlformats.org/officeDocument/2006/relationships/table" Target="/xl/tables/table5.xml" Id="R928952dff325442e" /></Relationships>
</file>

<file path=xl/worksheets/_rels/sheet8.xml.rels>&#65279;<?xml version="1.0" encoding="utf-8"?><Relationships xmlns="http://schemas.openxmlformats.org/package/2006/relationships"><Relationship Type="http://schemas.openxmlformats.org/officeDocument/2006/relationships/table" Target="/xl/tables/table6.xml" Id="R5f4e07cf2bc1434e" /></Relationships>
</file>

<file path=xl/worksheets/_rels/sheet9.xml.rels>&#65279;<?xml version="1.0" encoding="utf-8"?><Relationships xmlns="http://schemas.openxmlformats.org/package/2006/relationships"><Relationship Type="http://schemas.openxmlformats.org/officeDocument/2006/relationships/table" Target="/xl/tables/table7.xml" Id="R19600d2c24fe4284" /></Relationships>
</file>

<file path=xl/worksheets/_rels/sheet10.xml.rels>&#65279;<?xml version="1.0" encoding="utf-8"?><Relationships xmlns="http://schemas.openxmlformats.org/package/2006/relationships"><Relationship Type="http://schemas.openxmlformats.org/officeDocument/2006/relationships/table" Target="/xl/tables/table8.xml" Id="R5b4bc48f305d4765" /></Relationships>
</file>

<file path=xl/worksheets/_rels/sheet11.xml.rels>&#65279;<?xml version="1.0" encoding="utf-8"?><Relationships xmlns="http://schemas.openxmlformats.org/package/2006/relationships"><Relationship Type="http://schemas.openxmlformats.org/officeDocument/2006/relationships/table" Target="/xl/tables/table9.xml" Id="Rda457e13b6a14b51" /></Relationships>
</file>

<file path=xl/worksheets/_rels/sheet12.xml.rels>&#65279;<?xml version="1.0" encoding="utf-8"?><Relationships xmlns="http://schemas.openxmlformats.org/package/2006/relationships"><Relationship Type="http://schemas.openxmlformats.org/officeDocument/2006/relationships/table" Target="/xl/tables/table10.xml" Id="Re665c59426a34164" /></Relationships>
</file>

<file path=xl/worksheets/_rels/sheet13.xml.rels>&#65279;<?xml version="1.0" encoding="utf-8"?><Relationships xmlns="http://schemas.openxmlformats.org/package/2006/relationships"><Relationship Type="http://schemas.openxmlformats.org/officeDocument/2006/relationships/table" Target="/xl/tables/table11.xml" Id="R1ff03969ace7476b" /></Relationships>
</file>

<file path=xl/worksheets/_rels/sheet14.xml.rels>&#65279;<?xml version="1.0" encoding="utf-8"?><Relationships xmlns="http://schemas.openxmlformats.org/package/2006/relationships"><Relationship Type="http://schemas.openxmlformats.org/officeDocument/2006/relationships/table" Target="/xl/tables/table12.xml" Id="R81634d57a6ba4270" /></Relationships>
</file>

<file path=xl/worksheets/_rels/sheet16.xml.rels>&#65279;<?xml version="1.0" encoding="utf-8"?><Relationships xmlns="http://schemas.openxmlformats.org/package/2006/relationships"><Relationship Type="http://schemas.openxmlformats.org/officeDocument/2006/relationships/table" Target="/xl/tables/table13.xml" Id="R116c2881e1f44028" /></Relationships>
</file>

<file path=xl/worksheets/sheet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22" customHeight="1">
      <x:c r="A1" s="66" t="str">
        <x:v>ODESOSGAMES | FINAL PRODUCT QA</x:v>
      </x:c>
      <x:c r="B1" s="66"/>
      <x:c r="C1" s="66"/>
      <x:c r="D1" s="66"/>
      <x:c r="E1" s="66"/>
      <x:c r="F1" s="66"/>
      <x:c r="G1" s="66"/>
      <x:c r="H1" s="66"/>
    </x:row>
    <x:row r="2" ht="22" customHeight="1">
      <x:c r="A2" s="66"/>
      <x:c r="B2" s="66"/>
      <x:c r="C2" s="66"/>
      <x:c r="D2" s="66"/>
      <x:c r="E2" s="66"/>
      <x:c r="F2" s="66"/>
      <x:c r="G2" s="66"/>
      <x:c r="H2" s="66"/>
    </x:row>
    <x:row r="3" ht="27" customHeight="1">
      <x:c r="A3" s="69" t="str">
        <x:v>Release candidate after PR #19 • 332 fill-in tests • Baseline 42e8b200 • Prepared 2026-10-05</x:v>
      </x:c>
      <x:c r="B3" s="69"/>
      <x:c r="C3" s="69"/>
      <x:c r="D3" s="69"/>
      <x:c r="E3" s="69"/>
      <x:c r="F3" s="69"/>
      <x:c r="G3" s="69"/>
      <x:c r="H3" s="69"/>
    </x:row>
    <x:row r="4" ht="22" customHeight="1">
      <x:c r="A4" s="63"/>
      <x:c r="B4" s="63"/>
      <x:c r="C4" s="63"/>
      <x:c r="D4" s="63"/>
      <x:c r="E4" s="63"/>
      <x:c r="F4" s="63"/>
      <x:c r="G4" s="63"/>
      <x:c r="H4" s="63"/>
    </x:row>
    <x:row r="5" ht="22" customHeight="1">
      <x:c r="A5" s="75" t="str">
        <x:v>LIVE IS NOT DEV: the official website should show the public games and portal updates, but NOT mock ads, the ad inspector, game DEV panels, mock Why Ads or unavailable rewarded buttons. Production uses Null. This workbook signs off the product batch, not ad-provider approval.</x:v>
      </x:c>
      <x:c r="B5" s="75"/>
      <x:c r="C5" s="75"/>
      <x:c r="D5" s="75"/>
      <x:c r="E5" s="75"/>
      <x:c r="F5" s="75"/>
      <x:c r="G5" s="75"/>
      <x:c r="H5" s="75"/>
    </x:row>
    <x:row r="6" ht="22" customHeight="1">
      <x:c r="A6" s="75"/>
      <x:c r="B6" s="75"/>
      <x:c r="C6" s="75"/>
      <x:c r="D6" s="75"/>
      <x:c r="E6" s="75"/>
      <x:c r="F6" s="75"/>
      <x:c r="G6" s="75"/>
      <x:c r="H6" s="75"/>
    </x:row>
    <x:row r="7" ht="22" customHeight="1">
      <x:c r="A7" s="75"/>
      <x:c r="B7" s="75"/>
      <x:c r="C7" s="75"/>
      <x:c r="D7" s="75"/>
      <x:c r="E7" s="75"/>
      <x:c r="F7" s="75"/>
      <x:c r="G7" s="75"/>
      <x:c r="H7" s="75"/>
    </x:row>
    <x:row r="8" ht="22" customHeight="1">
      <x:c r="A8" s="63"/>
      <x:c r="B8" s="63"/>
      <x:c r="C8" s="63"/>
      <x:c r="D8" s="63"/>
      <x:c r="E8" s="63"/>
      <x:c r="F8" s="63"/>
      <x:c r="G8" s="63"/>
      <x:c r="H8" s="63"/>
    </x:row>
    <x:row r="9" ht="22" customHeight="1">
      <x:c r="A9" s="83" t="str">
        <x:v>1  LIVE WEBSITE</x:v>
      </x:c>
      <x:c r="B9" s="83"/>
      <x:c r="C9" s="83"/>
      <x:c r="D9" s="83"/>
      <x:c r="E9" s="83" t="str">
        <x:v>2  LOCAL DEV</x:v>
      </x:c>
      <x:c r="F9" s="83"/>
      <x:c r="G9" s="83"/>
      <x:c r="H9" s="83"/>
    </x:row>
    <x:row r="10" ht="22" customHeight="1">
      <x:c r="A10" s="91" t="str">
        <x:v>https://odesosgames.com/
Test the real deployed public experience in 01–03 plus the LIVE Device Matrix rows. Test actual mobile touch/audio here.</x:v>
      </x:c>
      <x:c r="B10" s="91"/>
      <x:c r="C10" s="91"/>
      <x:c r="D10" s="91"/>
      <x:c r="E10" s="91" t="str">
        <x:v>http://127.0.0.1:5173/
Test mock ads and tools in 04–08. Ctrl+Shift+A = website Ad Dev. Focus a game then Ctrl+Shift+D = its game DEV panel.</x:v>
      </x:c>
      <x:c r="F10" s="91"/>
      <x:c r="G10" s="91"/>
      <x:c r="H10" s="91"/>
    </x:row>
    <x:row r="11" ht="22" customHeight="1">
      <x:c r="A11" s="91"/>
      <x:c r="B11" s="91"/>
      <x:c r="C11" s="91"/>
      <x:c r="D11" s="91"/>
      <x:c r="E11" s="91"/>
      <x:c r="F11" s="91"/>
      <x:c r="G11" s="91"/>
      <x:c r="H11" s="91"/>
    </x:row>
    <x:row r="12" ht="22" customHeight="1">
      <x:c r="A12" s="91"/>
      <x:c r="B12" s="91"/>
      <x:c r="C12" s="91"/>
      <x:c r="D12" s="91"/>
      <x:c r="E12" s="91"/>
      <x:c r="F12" s="91"/>
      <x:c r="G12" s="91"/>
      <x:c r="H12" s="91"/>
    </x:row>
    <x:row r="13" ht="22" customHeight="1">
      <x:c r="A13" s="91"/>
      <x:c r="B13" s="91"/>
      <x:c r="C13" s="91"/>
      <x:c r="D13" s="91"/>
      <x:c r="E13" s="91"/>
      <x:c r="F13" s="91"/>
      <x:c r="G13" s="91"/>
      <x:c r="H13" s="91"/>
    </x:row>
    <x:row r="14" ht="22" customHeight="1">
      <x:c r="A14" s="63"/>
      <x:c r="B14" s="63"/>
      <x:c r="C14" s="63"/>
      <x:c r="D14" s="63"/>
      <x:c r="E14" s="63"/>
      <x:c r="F14" s="63"/>
      <x:c r="G14" s="63"/>
      <x:c r="H14" s="63"/>
    </x:row>
    <x:row r="15" ht="22" customHeight="1">
      <x:c r="A15" s="83" t="str">
        <x:v>3  LOCAL PRODUCTION PREVIEW</x:v>
      </x:c>
      <x:c r="B15" s="83"/>
      <x:c r="C15" s="83"/>
      <x:c r="D15" s="83"/>
      <x:c r="E15" s="83" t="str">
        <x:v>BACKEND / DATA BOUNDARY</x:v>
      </x:c>
      <x:c r="F15" s="83"/>
      <x:c r="G15" s="83"/>
      <x:c r="H15" s="83"/>
    </x:row>
    <x:row r="16" ht="22" customHeight="1">
      <x:c r="A16" s="91" t="str">
        <x:v>http://127.0.0.1:4173/
Build first, then preview. Use 09 to verify the actual production bundle. Mock/DEV UI must be absent, just as on LIVE.</x:v>
      </x:c>
      <x:c r="B16" s="91"/>
      <x:c r="C16" s="91"/>
      <x:c r="D16" s="91"/>
      <x:c r="E16" s="91" t="str">
        <x:v>No application backend, accounts, cloud saves, global analytics or revenue reporting exists in this scope. 08 covers real boundaries: browser storage, iframe messaging, local serving, build/tests and deployment.</x:v>
      </x:c>
      <x:c r="F16" s="91"/>
      <x:c r="G16" s="91"/>
      <x:c r="H16" s="91"/>
    </x:row>
    <x:row r="17" ht="22" customHeight="1">
      <x:c r="A17" s="91"/>
      <x:c r="B17" s="91"/>
      <x:c r="C17" s="91"/>
      <x:c r="D17" s="91"/>
      <x:c r="E17" s="91"/>
      <x:c r="F17" s="91"/>
      <x:c r="G17" s="91"/>
      <x:c r="H17" s="91"/>
    </x:row>
    <x:row r="18" ht="22" customHeight="1">
      <x:c r="A18" s="91"/>
      <x:c r="B18" s="91"/>
      <x:c r="C18" s="91"/>
      <x:c r="D18" s="91"/>
      <x:c r="E18" s="91"/>
      <x:c r="F18" s="91"/>
      <x:c r="G18" s="91"/>
      <x:c r="H18" s="91"/>
    </x:row>
    <x:row r="19" ht="22" customHeight="1">
      <x:c r="A19" s="91"/>
      <x:c r="B19" s="91"/>
      <x:c r="C19" s="91"/>
      <x:c r="D19" s="91"/>
      <x:c r="E19" s="91"/>
      <x:c r="F19" s="91"/>
      <x:c r="G19" s="91"/>
      <x:c r="H19" s="91"/>
    </x:row>
    <x:row r="20" ht="22" customHeight="1">
      <x:c r="A20" s="63"/>
      <x:c r="B20" s="63"/>
      <x:c r="C20" s="63"/>
      <x:c r="D20" s="63"/>
      <x:c r="E20" s="63"/>
      <x:c r="F20" s="63"/>
      <x:c r="G20" s="63"/>
      <x:c r="H20" s="63"/>
    </x:row>
    <x:row r="21" ht="22" customHeight="1">
      <x:c r="A21" s="83" t="str">
        <x:v>HOW TO FILL THIS WORKBOOK</x:v>
      </x:c>
      <x:c r="B21" s="83"/>
      <x:c r="C21" s="83"/>
      <x:c r="D21" s="83"/>
      <x:c r="E21" s="83"/>
      <x:c r="F21" s="83"/>
      <x:c r="G21" s="83"/>
      <x:c r="H21" s="83"/>
    </x:row>
    <x:row r="22" ht="22" customHeight="1">
      <x:c r="A22" s="63"/>
      <x:c r="B22" s="63"/>
      <x:c r="C22" s="63"/>
      <x:c r="D22" s="63"/>
      <x:c r="E22" s="63"/>
      <x:c r="F22" s="63"/>
      <x:c r="G22" s="63"/>
      <x:c r="H22" s="63"/>
    </x:row>
    <x:row r="23" ht="38" customHeight="1">
      <x:c r="A23" s="99" t="str">
        <x:v>1. Create a Sessions row for each real computer/browser/build/origin. Record the actual tested SHA and iframe size; do not assume a PC2 BAT is on main.</x:v>
      </x:c>
      <x:c r="B23" s="99"/>
      <x:c r="C23" s="99"/>
      <x:c r="D23" s="99"/>
      <x:c r="E23" s="99"/>
      <x:c r="F23" s="99"/>
      <x:c r="G23" s="99"/>
      <x:c r="H23" s="99"/>
    </x:row>
    <x:row r="24" ht="38" customHeight="1">
      <x:c r="A24" s="99" t="str">
        <x:v>2. Filter Priority = P0 - Critical for the first smoke pass. Then complete P1 - Required. P2 - Polish is nonblocking feedback, including subjective balancing.</x:v>
      </x:c>
      <x:c r="B24" s="99"/>
      <x:c r="C24" s="99"/>
      <x:c r="D24" s="99"/>
      <x:c r="E24" s="99"/>
      <x:c r="F24" s="99"/>
      <x:c r="G24" s="99"/>
      <x:c r="H24" s="99"/>
    </x:row>
    <x:row r="25" ht="38" customHeight="1">
      <x:c r="A25" s="99" t="str">
        <x:v>3. In each test sheet fill blue-tinted cells: Status, Actual result, Evidence, Bug ID, Session ID, Tester and Date. All tests intentionally start Not run.</x:v>
      </x:c>
      <x:c r="B25" s="99"/>
      <x:c r="C25" s="99"/>
      <x:c r="D25" s="99"/>
      <x:c r="E25" s="99"/>
      <x:c r="F25" s="99"/>
      <x:c r="G25" s="99"/>
      <x:c r="H25" s="99"/>
    </x:row>
    <x:row r="26" ht="38" customHeight="1">
      <x:c r="A26" s="99" t="str">
        <x:v>4. For Fail or Blocked, describe what happened and add evidence. Put reproducible defects in Bug Log. Missing hardware/tooling means Blocked, not an invented Pass.</x:v>
      </x:c>
      <x:c r="B26" s="99"/>
      <x:c r="C26" s="99"/>
      <x:c r="D26" s="99"/>
      <x:c r="E26" s="99"/>
      <x:c r="F26" s="99"/>
      <x:c r="G26" s="99"/>
      <x:c r="H26" s="99"/>
    </x:row>
    <x:row r="27" ht="38" customHeight="1">
      <x:c r="A27" s="99" t="str">
        <x:v>5. Retest after a fix; update the test row to its current result and keep failure/retest history in Bug Log. A closed critical bug needs a successful retest.</x:v>
      </x:c>
      <x:c r="B27" s="99"/>
      <x:c r="C27" s="99"/>
      <x:c r="D27" s="99"/>
      <x:c r="E27" s="99"/>
      <x:c r="F27" s="99"/>
      <x:c r="G27" s="99"/>
      <x:c r="H27" s="99"/>
    </x:row>
    <x:row r="28" ht="38" customHeight="1">
      <x:c r="A28" s="99" t="str">
        <x:v>6. Dashboard calculates execution and unresolved required tests. Sign Off records your final human approval; passing this workbook does not mean AdSense/H5/legal readiness.</x:v>
      </x:c>
      <x:c r="B28" s="99"/>
      <x:c r="C28" s="99"/>
      <x:c r="D28" s="99"/>
      <x:c r="E28" s="99"/>
      <x:c r="F28" s="99"/>
      <x:c r="G28" s="99"/>
      <x:c r="H28" s="99"/>
    </x:row>
    <x:row r="29" ht="22" customHeight="1">
      <x:c r="A29" s="63"/>
      <x:c r="B29" s="63"/>
      <x:c r="C29" s="63"/>
      <x:c r="D29" s="63"/>
      <x:c r="E29" s="63"/>
      <x:c r="F29" s="63"/>
      <x:c r="G29" s="63"/>
      <x:c r="H29" s="63"/>
    </x:row>
    <x:row r="30" ht="22" customHeight="1">
      <x:c r="A30" s="105" t="str">
        <x:v>STATUS</x:v>
      </x:c>
      <x:c r="B30" s="105"/>
      <x:c r="C30" s="105"/>
      <x:c r="D30" s="105" t="str">
        <x:v>USE IT WHEN</x:v>
      </x:c>
      <x:c r="E30" s="105"/>
      <x:c r="F30" s="105"/>
      <x:c r="G30" s="105"/>
      <x:c r="H30" s="105"/>
    </x:row>
    <x:row r="31" ht="32" customHeight="1">
      <x:c r="A31" s="111" t="str">
        <x:v>Not run</x:v>
      </x:c>
      <x:c r="B31" s="111"/>
      <x:c r="C31" s="111"/>
      <x:c r="D31" s="99" t="str">
        <x:v>No execution yet. Build/report evidence alone is not your manual pass.</x:v>
      </x:c>
      <x:c r="E31" s="99"/>
      <x:c r="F31" s="99"/>
      <x:c r="G31" s="99"/>
      <x:c r="H31" s="99"/>
    </x:row>
    <x:row r="32" ht="32" customHeight="1">
      <x:c r="A32" s="119" t="str">
        <x:v>In progress</x:v>
      </x:c>
      <x:c r="B32" s="119"/>
      <x:c r="C32" s="119"/>
      <x:c r="D32" s="99" t="str">
        <x:v>Started; not enough evidence for a result.</x:v>
      </x:c>
      <x:c r="E32" s="99"/>
      <x:c r="F32" s="99"/>
      <x:c r="G32" s="99"/>
      <x:c r="H32" s="99"/>
    </x:row>
    <x:row r="33" ht="32" customHeight="1">
      <x:c r="A33" s="127" t="str">
        <x:v>Pass</x:v>
      </x:c>
      <x:c r="B33" s="127"/>
      <x:c r="C33" s="127"/>
      <x:c r="D33" s="99" t="str">
        <x:v>Expected behavior observed on the recorded build/session.</x:v>
      </x:c>
      <x:c r="E33" s="99"/>
      <x:c r="F33" s="99"/>
      <x:c r="G33" s="99"/>
      <x:c r="H33" s="99"/>
    </x:row>
    <x:row r="34" ht="32" customHeight="1">
      <x:c r="A34" s="135" t="str">
        <x:v>Fail</x:v>
      </x:c>
      <x:c r="B34" s="135"/>
      <x:c r="C34" s="135"/>
      <x:c r="D34" s="99" t="str">
        <x:v>Observed behavior contradicts expected result; log the defect.</x:v>
      </x:c>
      <x:c r="E34" s="99"/>
      <x:c r="F34" s="99"/>
      <x:c r="G34" s="99"/>
      <x:c r="H34" s="99"/>
    </x:row>
    <x:row r="35" ht="32" customHeight="1">
      <x:c r="A35" s="143" t="str">
        <x:v>Blocked</x:v>
      </x:c>
      <x:c r="B35" s="143"/>
      <x:c r="C35" s="143"/>
      <x:c r="D35" s="99" t="str">
        <x:v>Could not execute/finish: missing device, dependency, access or unresolved error.</x:v>
      </x:c>
      <x:c r="E35" s="99"/>
      <x:c r="F35" s="99"/>
      <x:c r="G35" s="99"/>
      <x:c r="H35" s="99"/>
    </x:row>
    <x:row r="36" ht="32" customHeight="1">
      <x:c r="A36" s="151" t="str">
        <x:v>Retest due</x:v>
      </x:c>
      <x:c r="B36" s="151"/>
      <x:c r="C36" s="151"/>
      <x:c r="D36" s="99" t="str">
        <x:v>A fix is available; repeat the test before marking Pass.</x:v>
      </x:c>
      <x:c r="E36" s="99"/>
      <x:c r="F36" s="99"/>
      <x:c r="G36" s="99"/>
      <x:c r="H36" s="99"/>
    </x:row>
    <x:row r="37" ht="32" customHeight="1">
      <x:c r="A37" s="159" t="str">
        <x:v>N/A</x:v>
      </x:c>
      <x:c r="B37" s="159"/>
      <x:c r="C37" s="159"/>
      <x:c r="D37" s="99" t="str">
        <x:v>Genuinely outside agreed scope with a written reason/approval. Final Human QA owner-approved N/A exceptions: audio-owned cases and unavailable iPhone/iPad coverage.</x:v>
      </x:c>
      <x:c r="E37" s="99"/>
      <x:c r="F37" s="99"/>
      <x:c r="G37" s="99"/>
      <x:c r="H37" s="99"/>
    </x:row>
    <x:row r="38" ht="22" customHeight="1">
      <x:c r="A38" s="63"/>
      <x:c r="B38" s="63"/>
      <x:c r="C38" s="63"/>
      <x:c r="D38" s="63"/>
      <x:c r="E38" s="63"/>
      <x:c r="F38" s="63"/>
      <x:c r="G38" s="63"/>
      <x:c r="H38" s="63"/>
    </x:row>
    <x:row r="39" ht="22" customHeight="1">
      <x:c r="A39" s="166" t="str">
        <x:v>SAVE SAFELY: destructive score/profile/reset tests belong in a disposable browser profile on a local origin. Gameplay DEV grants can intentionally persist when labelled. Export files before reload; Orbit/Reactor session logs are RAM-only. Global Ad DEV config persists; placement overrides do not.</x:v>
      </x:c>
      <x:c r="B39" s="166"/>
      <x:c r="C39" s="166"/>
      <x:c r="D39" s="166"/>
      <x:c r="E39" s="166"/>
      <x:c r="F39" s="166"/>
      <x:c r="G39" s="166"/>
      <x:c r="H39" s="166"/>
    </x:row>
    <x:row r="40" ht="22" customHeight="1">
      <x:c r="A40" s="166"/>
      <x:c r="B40" s="166"/>
      <x:c r="C40" s="166"/>
      <x:c r="D40" s="166"/>
      <x:c r="E40" s="166"/>
      <x:c r="F40" s="166"/>
      <x:c r="G40" s="166"/>
      <x:c r="H40" s="166"/>
    </x:row>
    <x:row r="41" ht="22" customHeight="1">
      <x:c r="A41" s="166"/>
      <x:c r="B41" s="166"/>
      <x:c r="C41" s="166"/>
      <x:c r="D41" s="166"/>
      <x:c r="E41" s="166"/>
      <x:c r="F41" s="166"/>
      <x:c r="G41" s="166"/>
      <x:c r="H41" s="166"/>
    </x:row>
    <x:row r="42" ht="22" customHeight="1">
      <x:c r="A42" s="63"/>
      <x:c r="B42" s="63"/>
      <x:c r="C42" s="63"/>
      <x:c r="D42" s="63"/>
      <x:c r="E42" s="63"/>
      <x:c r="F42" s="63"/>
      <x:c r="G42" s="63"/>
      <x:c r="H42" s="63"/>
    </x:row>
    <x:row r="43" ht="22" customHeight="1">
      <x:c r="A43" s="172" t="str">
        <x:v>SOURCES, NOT PRE-FILLED RESULTS: test steps are newly authored from the current code, QA documents and agreed scope. Each row links its baseline source. Historical sections in source documents may mention superseded limits; Patch 03.1 and Reactor v1 govern this workbook. Automated baseline: 201 tests reported; rerun and record your own results.</x:v>
      </x:c>
      <x:c r="B43" s="172"/>
      <x:c r="C43" s="172"/>
      <x:c r="D43" s="172"/>
      <x:c r="E43" s="172"/>
      <x:c r="F43" s="172"/>
      <x:c r="G43" s="172"/>
      <x:c r="H43" s="172"/>
    </x:row>
    <x:row r="44" ht="22" customHeight="1">
      <x:c r="A44" s="172"/>
      <x:c r="B44" s="172"/>
      <x:c r="C44" s="172"/>
      <x:c r="D44" s="172"/>
      <x:c r="E44" s="172"/>
      <x:c r="F44" s="172"/>
      <x:c r="G44" s="172"/>
      <x:c r="H44" s="172"/>
    </x:row>
    <x:row r="45" ht="22" customHeight="1">
      <x:c r="A45" s="172"/>
      <x:c r="B45" s="172"/>
      <x:c r="C45" s="172"/>
      <x:c r="D45" s="172"/>
      <x:c r="E45" s="172"/>
      <x:c r="F45" s="172"/>
      <x:c r="G45" s="172"/>
      <x:c r="H45" s="172"/>
    </x:row>
    <x:row r="46" ht="22" customHeight="1">
      <x:c r="A46" s="63"/>
      <x:c r="B46" s="63"/>
      <x:c r="C46" s="63"/>
      <x:c r="D46" s="63"/>
      <x:c r="E46" s="63"/>
      <x:c r="F46" s="63"/>
      <x:c r="G46" s="63"/>
      <x:c r="H46" s="63"/>
    </x:row>
    <x:row r="47" ht="22" customHeight="1">
      <x:c r="A47" s="166" t="str">
        <x:v>POST-HUMAN QA STATUS: Human QA completed 2026-10-07. Audio-specific cases and physical iPhone/iPad coverage are explicit owner-approved N/A exceptions. Current reproducible defects are recorded in Bug Log (FAI-001 and HQA-001..005; V2-004 remains related/open). Legal/CMP/provider setup and real ads remain deferred and are not approved by this workbook.</x:v>
      </x:c>
      <x:c r="B47" s="166"/>
      <x:c r="C47" s="166"/>
      <x:c r="D47" s="166"/>
      <x:c r="E47" s="166"/>
      <x:c r="F47" s="166"/>
      <x:c r="G47" s="166"/>
      <x:c r="H47" s="166"/>
    </x:row>
    <x:row r="48" ht="22" customHeight="1">
      <x:c r="A48" s="166"/>
      <x:c r="B48" s="166"/>
      <x:c r="C48" s="166"/>
      <x:c r="D48" s="166"/>
      <x:c r="E48" s="166"/>
      <x:c r="F48" s="166"/>
      <x:c r="G48" s="166"/>
      <x:c r="H48" s="166"/>
    </x:row>
    <x:row r="49" ht="22" customHeight="1">
      <x:c r="A49" s="166"/>
      <x:c r="B49" s="166"/>
      <x:c r="C49" s="166"/>
      <x:c r="D49" s="166"/>
      <x:c r="E49" s="166"/>
      <x:c r="F49" s="166"/>
      <x:c r="G49" s="166"/>
      <x:c r="H49" s="166"/>
    </x:row>
    <x:row r="50" ht="22" customHeight="1">
      <x:c r="A50" s="63"/>
      <x:c r="B50" s="63"/>
      <x:c r="C50" s="63"/>
      <x:c r="D50" s="63"/>
      <x:c r="E50" s="63"/>
      <x:c r="F50" s="63"/>
      <x:c r="G50" s="63"/>
      <x:c r="H50" s="63"/>
    </x:row>
    <x:row r="51" ht="22" customHeight="1">
      <x:c r="A51" s="83" t="str">
        <x:v>SAFE LOCAL START — COMMANDS ONLY GO IN POWERSHELL</x:v>
      </x:c>
      <x:c r="B51" s="83"/>
      <x:c r="C51" s="83"/>
      <x:c r="D51" s="83"/>
      <x:c r="E51" s="83"/>
      <x:c r="F51" s="83"/>
      <x:c r="G51" s="83"/>
      <x:c r="H51" s="83"/>
    </x:row>
    <x:row r="52" ht="22" customHeight="1">
      <x:c r="A52" s="63"/>
      <x:c r="B52" s="63"/>
      <x:c r="C52" s="63"/>
      <x:c r="D52" s="63"/>
      <x:c r="E52" s="63"/>
      <x:c r="F52" s="63"/>
      <x:c r="G52" s="63"/>
      <x:c r="H52" s="63"/>
    </x:row>
    <x:row r="53" ht="22" customHeight="1">
      <x:c r="A53" s="178" t="str">
        <x:v>CHECK YOUR CHECKOUT</x:v>
      </x:c>
      <x:c r="B53" s="178"/>
      <x:c r="C53" s="185" t="str">
        <x:v>git status --short
git branch --show-current
git rev-parse HEAD</x:v>
      </x:c>
      <x:c r="D53" s="185"/>
      <x:c r="E53" s="185"/>
      <x:c r="F53" s="185"/>
      <x:c r="G53" s="185"/>
      <x:c r="H53" s="185"/>
    </x:row>
    <x:row r="54" ht="22" customHeight="1">
      <x:c r="A54" s="178"/>
      <x:c r="B54" s="178"/>
      <x:c r="C54" s="185"/>
      <x:c r="D54" s="185"/>
      <x:c r="E54" s="185"/>
      <x:c r="F54" s="185"/>
      <x:c r="G54" s="185"/>
      <x:c r="H54" s="185"/>
    </x:row>
    <x:row r="55" ht="22" customHeight="1">
      <x:c r="A55" s="178"/>
      <x:c r="B55" s="178"/>
      <x:c r="C55" s="185"/>
      <x:c r="D55" s="185"/>
      <x:c r="E55" s="185"/>
      <x:c r="F55" s="185"/>
      <x:c r="G55" s="185"/>
      <x:c r="H55" s="185"/>
    </x:row>
    <x:row r="56" ht="22" customHeight="1">
      <x:c r="A56" s="178"/>
      <x:c r="B56" s="178"/>
      <x:c r="C56" s="185"/>
      <x:c r="D56" s="185"/>
      <x:c r="E56" s="185"/>
      <x:c r="F56" s="185"/>
      <x:c r="G56" s="185"/>
      <x:c r="H56" s="185"/>
    </x:row>
    <x:row r="57" ht="22" customHeight="1">
      <x:c r="A57" s="63"/>
      <x:c r="B57" s="63"/>
      <x:c r="C57" s="63"/>
      <x:c r="D57" s="63"/>
      <x:c r="E57" s="63"/>
      <x:c r="F57" s="63"/>
      <x:c r="G57" s="63"/>
      <x:c r="H57" s="63"/>
    </x:row>
    <x:row r="58" ht="22" customHeight="1">
      <x:c r="A58" s="178" t="str">
        <x:v>NEW QA FOLDER (OPTIONAL)</x:v>
      </x:c>
      <x:c r="B58" s="178"/>
      <x:c r="C58" s="185" t="str">
        <x:v>From a folder where OdesosGames-QA does not exist:
git clone --branch main --single-branch https://github.com/icojto/GameWebsite.git OdesosGames-QA
cd OdesosGames-QA</x:v>
      </x:c>
      <x:c r="D58" s="185"/>
      <x:c r="E58" s="185"/>
      <x:c r="F58" s="185"/>
      <x:c r="G58" s="185"/>
      <x:c r="H58" s="185"/>
    </x:row>
    <x:row r="59" ht="22" customHeight="1">
      <x:c r="A59" s="178"/>
      <x:c r="B59" s="178"/>
      <x:c r="C59" s="185"/>
      <x:c r="D59" s="185"/>
      <x:c r="E59" s="185"/>
      <x:c r="F59" s="185"/>
      <x:c r="G59" s="185"/>
      <x:c r="H59" s="185"/>
    </x:row>
    <x:row r="60" ht="22" customHeight="1">
      <x:c r="A60" s="178"/>
      <x:c r="B60" s="178"/>
      <x:c r="C60" s="185"/>
      <x:c r="D60" s="185"/>
      <x:c r="E60" s="185"/>
      <x:c r="F60" s="185"/>
      <x:c r="G60" s="185"/>
      <x:c r="H60" s="185"/>
    </x:row>
    <x:row r="61" ht="22" customHeight="1">
      <x:c r="A61" s="178"/>
      <x:c r="B61" s="178"/>
      <x:c r="C61" s="185"/>
      <x:c r="D61" s="185"/>
      <x:c r="E61" s="185"/>
      <x:c r="F61" s="185"/>
      <x:c r="G61" s="185"/>
      <x:c r="H61" s="185"/>
    </x:row>
    <x:row r="62" ht="22" customHeight="1">
      <x:c r="A62" s="63"/>
      <x:c r="B62" s="63"/>
      <x:c r="C62" s="63"/>
      <x:c r="D62" s="63"/>
      <x:c r="E62" s="63"/>
      <x:c r="F62" s="63"/>
      <x:c r="G62" s="63"/>
      <x:c r="H62" s="63"/>
    </x:row>
    <x:row r="63" ht="22" customHeight="1">
      <x:c r="A63" s="178" t="str">
        <x:v>INSTALL / DEV</x:v>
      </x:c>
      <x:c r="B63" s="178"/>
      <x:c r="C63" s="185" t="str">
        <x:v>npm.cmd ci
npm.cmd run dev -- --port 5173 --strictPort</x:v>
      </x:c>
      <x:c r="D63" s="185"/>
      <x:c r="E63" s="185"/>
      <x:c r="F63" s="185"/>
      <x:c r="G63" s="185"/>
      <x:c r="H63" s="185"/>
    </x:row>
    <x:row r="64" ht="22" customHeight="1">
      <x:c r="A64" s="178"/>
      <x:c r="B64" s="178"/>
      <x:c r="C64" s="185"/>
      <x:c r="D64" s="185"/>
      <x:c r="E64" s="185"/>
      <x:c r="F64" s="185"/>
      <x:c r="G64" s="185"/>
      <x:c r="H64" s="185"/>
    </x:row>
    <x:row r="65" ht="22" customHeight="1">
      <x:c r="A65" s="178"/>
      <x:c r="B65" s="178"/>
      <x:c r="C65" s="185"/>
      <x:c r="D65" s="185"/>
      <x:c r="E65" s="185"/>
      <x:c r="F65" s="185"/>
      <x:c r="G65" s="185"/>
      <x:c r="H65" s="185"/>
    </x:row>
    <x:row r="66" ht="22" customHeight="1">
      <x:c r="A66" s="178"/>
      <x:c r="B66" s="178"/>
      <x:c r="C66" s="185"/>
      <x:c r="D66" s="185"/>
      <x:c r="E66" s="185"/>
      <x:c r="F66" s="185"/>
      <x:c r="G66" s="185"/>
      <x:c r="H66" s="185"/>
    </x:row>
    <x:row r="67" ht="22" customHeight="1">
      <x:c r="A67" s="63"/>
      <x:c r="B67" s="63"/>
      <x:c r="C67" s="63"/>
      <x:c r="D67" s="63"/>
      <x:c r="E67" s="63"/>
      <x:c r="F67" s="63"/>
      <x:c r="G67" s="63"/>
      <x:c r="H67" s="63"/>
    </x:row>
    <x:row r="68" ht="22" customHeight="1">
      <x:c r="A68" s="178" t="str">
        <x:v>PRODUCTION PREVIEW</x:v>
      </x:c>
      <x:c r="B68" s="178"/>
      <x:c r="C68" s="185" t="str">
        <x:v>Stop DEV with Ctrl+C.
npm.cmd run build
npm.cmd run preview -- --port 4173 --strictPort</x:v>
      </x:c>
      <x:c r="D68" s="185"/>
      <x:c r="E68" s="185"/>
      <x:c r="F68" s="185"/>
      <x:c r="G68" s="185"/>
      <x:c r="H68" s="185"/>
    </x:row>
    <x:row r="69" ht="22" customHeight="1">
      <x:c r="A69" s="178"/>
      <x:c r="B69" s="178"/>
      <x:c r="C69" s="185"/>
      <x:c r="D69" s="185"/>
      <x:c r="E69" s="185"/>
      <x:c r="F69" s="185"/>
      <x:c r="G69" s="185"/>
      <x:c r="H69" s="185"/>
    </x:row>
    <x:row r="70" ht="22" customHeight="1">
      <x:c r="A70" s="178"/>
      <x:c r="B70" s="178"/>
      <x:c r="C70" s="185"/>
      <x:c r="D70" s="185"/>
      <x:c r="E70" s="185"/>
      <x:c r="F70" s="185"/>
      <x:c r="G70" s="185"/>
      <x:c r="H70" s="185"/>
    </x:row>
    <x:row r="71" ht="22" customHeight="1">
      <x:c r="A71" s="178"/>
      <x:c r="B71" s="178"/>
      <x:c r="C71" s="185"/>
      <x:c r="D71" s="185"/>
      <x:c r="E71" s="185"/>
      <x:c r="F71" s="185"/>
      <x:c r="G71" s="185"/>
      <x:c r="H71" s="185"/>
    </x:row>
    <x:row r="72" ht="22" customHeight="1">
      <x:c r="A72" s="63"/>
      <x:c r="B72" s="63"/>
      <x:c r="C72" s="63"/>
      <x:c r="D72" s="63"/>
      <x:c r="E72" s="63"/>
      <x:c r="F72" s="63"/>
      <x:c r="G72" s="63"/>
      <x:c r="H72" s="63"/>
    </x:row>
    <x:row r="73" ht="22" customHeight="1">
      <x:c r="A73" s="63"/>
      <x:c r="B73" s="63"/>
      <x:c r="C73" s="63"/>
      <x:c r="D73" s="63"/>
      <x:c r="E73" s="63"/>
      <x:c r="F73" s="63"/>
      <x:c r="G73" s="63"/>
      <x:c r="H73" s="63"/>
    </x:row>
    <x:row r="74" ht="22" customHeight="1">
      <x:c r="A74" s="99" t="str">
        <x:v>Keep server terminal open. Run one environment at a time or use deliberately distinct ports. localhost and 127.0.0.1 are different origins; DEV, preview and LIVE saves are not expected to match. Use current main, not the historical PR17/PR19 feature folder. When updating a clean existing checkout use fetch / fast-forward only; never reset unrelated changes.</x:v>
      </x:c>
      <x:c r="B74" s="99"/>
      <x:c r="C74" s="99"/>
      <x:c r="D74" s="99"/>
      <x:c r="E74" s="99"/>
      <x:c r="F74" s="99"/>
      <x:c r="G74" s="99"/>
      <x:c r="H74" s="99"/>
    </x:row>
    <x:row r="75" ht="22" customHeight="1">
      <x:c r="A75" s="99"/>
      <x:c r="B75" s="99"/>
      <x:c r="C75" s="99"/>
      <x:c r="D75" s="99"/>
      <x:c r="E75" s="99"/>
      <x:c r="F75" s="99"/>
      <x:c r="G75" s="99"/>
      <x:c r="H75" s="99"/>
    </x:row>
    <x:row r="76" ht="22" customHeight="1">
      <x:c r="A76" s="99"/>
      <x:c r="B76" s="99"/>
      <x:c r="C76" s="99"/>
      <x:c r="D76" s="99"/>
      <x:c r="E76" s="99"/>
      <x:c r="F76" s="99"/>
      <x:c r="G76" s="99"/>
      <x:c r="H76" s="99"/>
    </x:row>
    <x:row r="77" ht="22" customHeight="1">
      <x:c r="A77" s="99"/>
      <x:c r="B77" s="99"/>
      <x:c r="C77" s="99"/>
      <x:c r="D77" s="99"/>
      <x:c r="E77" s="99"/>
      <x:c r="F77" s="99"/>
      <x:c r="G77" s="99"/>
      <x:c r="H77" s="99"/>
    </x:row>
    <x:row r="78" ht="22" customHeight="1">
      <x:c r="A78" s="63"/>
      <x:c r="B78" s="63"/>
      <x:c r="C78" s="63"/>
      <x:c r="D78" s="63"/>
      <x:c r="E78" s="63"/>
      <x:c r="F78" s="63"/>
      <x:c r="G78" s="63"/>
      <x:c r="H78" s="63"/>
    </x:row>
    <x:row r="79" ht="22" customHeight="1">
      <x:c r="A79" s="63"/>
      <x:c r="B79" s="63"/>
      <x:c r="C79" s="63"/>
      <x:c r="D79" s="63"/>
      <x:c r="E79" s="63"/>
      <x:c r="F79" s="63"/>
      <x:c r="G79" s="63"/>
      <x:c r="H79" s="63"/>
    </x:row>
    <x:row r="80" ht="22" customHeight="1">
      <x:c r="A80" s="63"/>
      <x:c r="B80" s="63"/>
      <x:c r="C80" s="63"/>
      <x:c r="D80" s="63"/>
      <x:c r="E80" s="63"/>
      <x:c r="F80" s="63"/>
      <x:c r="G80" s="63"/>
      <x:c r="H80" s="63"/>
    </x:row>
  </x:sheetData>
  <x:mergeCells>
    <x:mergeCell ref="A1:H2"/>
    <x:mergeCell ref="A3:H3"/>
    <x:mergeCell ref="A5:H7"/>
    <x:mergeCell ref="A9:D9"/>
    <x:mergeCell ref="E9:H9"/>
    <x:mergeCell ref="A10:D13"/>
    <x:mergeCell ref="E10:H13"/>
    <x:mergeCell ref="A15:D15"/>
    <x:mergeCell ref="E15:H15"/>
    <x:mergeCell ref="A16:D19"/>
    <x:mergeCell ref="E16:H19"/>
    <x:mergeCell ref="A21:H21"/>
    <x:mergeCell ref="A23:H23"/>
    <x:mergeCell ref="A24:H24"/>
    <x:mergeCell ref="A25:H25"/>
    <x:mergeCell ref="A26:H26"/>
    <x:mergeCell ref="A27:H27"/>
    <x:mergeCell ref="A28:H28"/>
    <x:mergeCell ref="A30:C30"/>
    <x:mergeCell ref="D30:H30"/>
    <x:mergeCell ref="A31:C31"/>
    <x:mergeCell ref="D31:H31"/>
    <x:mergeCell ref="A32:C32"/>
    <x:mergeCell ref="D32:H32"/>
    <x:mergeCell ref="A33:C33"/>
    <x:mergeCell ref="D33:H33"/>
    <x:mergeCell ref="A34:C34"/>
    <x:mergeCell ref="D34:H34"/>
    <x:mergeCell ref="A35:C35"/>
    <x:mergeCell ref="D35:H35"/>
    <x:mergeCell ref="A36:C36"/>
    <x:mergeCell ref="D36:H36"/>
    <x:mergeCell ref="A37:C37"/>
    <x:mergeCell ref="D37:H37"/>
    <x:mergeCell ref="A39:H41"/>
    <x:mergeCell ref="A43:H45"/>
    <x:mergeCell ref="A47:H49"/>
    <x:mergeCell ref="A51:H51"/>
    <x:mergeCell ref="A53:B56"/>
    <x:mergeCell ref="C53:H56"/>
    <x:mergeCell ref="A58:B61"/>
    <x:mergeCell ref="C58:H61"/>
    <x:mergeCell ref="A63:B66"/>
    <x:mergeCell ref="C63:H66"/>
    <x:mergeCell ref="A68:B71"/>
    <x:mergeCell ref="C68:H71"/>
    <x:mergeCell ref="A74:H77"/>
  </x:mergeCells>
  <x:pageMargins left="0.7" right="0.7" top="0.75" bottom="0.75" header="0.3" footer="0.3"/>
</x:worksheet>
</file>

<file path=xl/worksheets/sheet2.xml><?xml version="1.0" encoding="utf-8"?>
<x:worksheet xmlns:x="http://schemas.openxmlformats.org/spreadsheetml/2006/main" xmlns:x14="http://schemas.microsoft.com/office/spreadsheetml/2009/9/main" xmlns:xm="http://schemas.microsoft.com/office/excel/2006/main">
  <x:sheetFormatPr defaultRowHeight="15"/>
  <x:cols>
    <x:col min="1" max="1" width="34" hidden="0" customWidth="1"/>
    <x:col min="2" max="2" width="12" hidden="0" customWidth="1"/>
    <x:col min="3" max="3" width="11" hidden="0" customWidth="1"/>
    <x:col min="4" max="4" width="11" hidden="0" customWidth="1"/>
    <x:col min="5" max="5" width="12" hidden="0" customWidth="1"/>
    <x:col min="6" max="6" width="14" hidden="0" customWidth="1"/>
    <x:col min="7" max="7" width="11" hidden="0" customWidth="1"/>
    <x:col min="8" max="8" width="17" hidden="0" customWidth="1"/>
    <x:col min="9" max="9" width="21" hidden="0" customWidth="1"/>
    <x:col min="10" max="10" width="21" hidden="0" customWidth="1"/>
  </x:cols>
  <x:sheetData>
    <x:row r="1" ht="22" customHeight="1">
      <x:c r="A1" s="66" t="str">
        <x:v>QA DASHBOARD | 0.5.0 STAGE 1 REVIEW</x:v>
      </x:c>
      <x:c r="B1" s="66"/>
      <x:c r="C1" s="66"/>
      <x:c r="D1" s="66"/>
      <x:c r="E1" s="66"/>
      <x:c r="F1" s="66"/>
      <x:c r="G1" s="66"/>
      <x:c r="H1" s="66"/>
      <x:c r="I1" s="66"/>
      <x:c r="J1" s="66"/>
    </x:row>
    <x:row r="2" ht="22" customHeight="1">
      <x:c r="A2" s="66"/>
      <x:c r="B2" s="66"/>
      <x:c r="C2" s="66"/>
      <x:c r="D2" s="66"/>
      <x:c r="E2" s="66"/>
      <x:c r="F2" s="66"/>
      <x:c r="G2" s="66"/>
      <x:c r="H2" s="66"/>
      <x:c r="I2" s="66"/>
      <x:c r="J2" s="66"/>
    </x:row>
    <x:row r="3" ht="27" customHeight="1">
      <x:c r="A3" s="69" t="str">
        <x:v>Human baseline retained. Draft fixes await merge, deployment and targeted human retest.</x:v>
      </x:c>
      <x:c r="B3" s="69"/>
      <x:c r="C3" s="69"/>
      <x:c r="D3" s="69"/>
      <x:c r="E3" s="69"/>
      <x:c r="F3" s="69"/>
      <x:c r="G3" s="69"/>
      <x:c r="H3" s="69"/>
      <x:c r="I3" s="69"/>
      <x:c r="J3" s="69"/>
    </x:row>
    <x:row r="4" ht="22" customHeight="1">
      <x:c r="A4" s="63"/>
      <x:c r="B4" s="63"/>
      <x:c r="C4" s="63"/>
      <x:c r="D4" s="63"/>
      <x:c r="E4" s="63"/>
      <x:c r="F4" s="63"/>
      <x:c r="G4" s="63"/>
      <x:c r="H4" s="63"/>
      <x:c r="I4" s="63"/>
      <x:c r="J4" s="63"/>
    </x:row>
    <x:row r="5" ht="22" customHeight="1">
      <x:c r="A5" s="178" t="str">
        <x:v>TOTAL CASES</x:v>
      </x:c>
      <x:c r="B5" s="178"/>
      <x:c r="C5" s="178" t="str">
        <x:v>APPLICABLE PASS RATE</x:v>
      </x:c>
      <x:c r="D5" s="178"/>
      <x:c r="E5" s="178"/>
      <x:c r="F5" s="178" t="str">
        <x:v>FAIL</x:v>
      </x:c>
      <x:c r="G5" s="178"/>
      <x:c r="H5" s="178" t="str">
        <x:v>OPEN APPLICABLE S0 / S1</x:v>
      </x:c>
      <x:c r="I5" s="178"/>
      <x:c r="J5" s="178"/>
    </x:row>
    <x:row r="6" ht="22" customHeight="1">
      <x:c r="A6" s="278" t="n">
        <x:f>B23</x:f>
        <x:v>332</x:v>
      </x:c>
      <x:c r="B6" s="278"/>
      <x:c r="C6" s="287" t="n">
        <x:f>IFERROR(C23/(B23-G23),0)</x:f>
        <x:v>0.9753086419753086</x:v>
      </x:c>
      <x:c r="D6" s="278"/>
      <x:c r="E6" s="278"/>
      <x:c r="F6" s="278" t="n">
        <x:f>D23</x:f>
        <x:v>8</x:v>
      </x:c>
      <x:c r="G6" s="278"/>
      <x:c r="H6" s="278" t="n">
        <x:f>COUNTIFS('Bug Log'!D9:D55,"S0 - Blocker",'Bug Log'!E9:E55,"&lt;&gt;Closed",'Bug Log'!E9:E55,"&lt;&gt;Duplicate",'Bug Log'!N9:N55,"&lt;&gt;N/A",'Bug Log'!F9:F55,"&lt;&gt;")+COUNTIFS('Bug Log'!D9:D55,"S1 - Major",'Bug Log'!E9:E55,"&lt;&gt;Closed",'Bug Log'!E9:E55,"&lt;&gt;Duplicate",'Bug Log'!N9:N55,"&lt;&gt;N/A",'Bug Log'!F9:F55,"&lt;&gt;")</x:f>
        <x:v>4</x:v>
      </x:c>
      <x:c r="I6" s="278"/>
      <x:c r="J6" s="278"/>
    </x:row>
    <x:row r="7" ht="22" customHeight="1">
      <x:c r="A7" s="278"/>
      <x:c r="B7" s="278"/>
      <x:c r="C7" s="278"/>
      <x:c r="D7" s="278"/>
      <x:c r="E7" s="278"/>
      <x:c r="F7" s="278"/>
      <x:c r="G7" s="278"/>
      <x:c r="H7" s="278"/>
      <x:c r="I7" s="278"/>
      <x:c r="J7" s="278"/>
    </x:row>
    <x:row r="8" ht="22" customHeight="1">
      <x:c r="A8" s="278"/>
      <x:c r="B8" s="278"/>
      <x:c r="C8" s="278"/>
      <x:c r="D8" s="278"/>
      <x:c r="E8" s="278"/>
      <x:c r="F8" s="278"/>
      <x:c r="G8" s="278"/>
      <x:c r="H8" s="278"/>
      <x:c r="I8" s="278"/>
      <x:c r="J8" s="278"/>
    </x:row>
    <x:row r="9" ht="22" customHeight="1">
      <x:c r="A9" s="63"/>
      <x:c r="B9" s="63"/>
      <x:c r="C9" s="63"/>
      <x:c r="D9" s="63"/>
      <x:c r="E9" s="63"/>
      <x:c r="F9" s="63"/>
      <x:c r="G9" s="63"/>
      <x:c r="H9" s="63"/>
      <x:c r="I9" s="63"/>
      <x:c r="J9" s="63"/>
    </x:row>
    <x:row r="10" ht="30" customHeight="1">
      <x:c r="A10" s="99" t="str">
        <x:v>N/A is owner-approved scope exclusion, never Pass. Applicable = Total - N/A; completion = (Pass + Fail) / Applicable.</x:v>
      </x:c>
      <x:c r="B10" s="99"/>
      <x:c r="C10" s="99"/>
      <x:c r="D10" s="99"/>
      <x:c r="E10" s="99"/>
      <x:c r="F10" s="99"/>
      <x:c r="G10" s="99"/>
      <x:c r="H10" s="99"/>
      <x:c r="I10" s="99"/>
      <x:c r="J10" s="99"/>
    </x:row>
    <x:row r="11" ht="22" customHeight="1">
      <x:c r="A11" s="63"/>
      <x:c r="B11" s="63"/>
      <x:c r="C11" s="63"/>
      <x:c r="D11" s="63"/>
      <x:c r="E11" s="63"/>
      <x:c r="F11" s="63"/>
      <x:c r="G11" s="63"/>
      <x:c r="H11" s="63"/>
      <x:c r="I11" s="63"/>
      <x:c r="J11" s="63"/>
    </x:row>
    <x:row r="12" ht="32" customHeight="1">
      <x:c r="A12" s="194" t="str">
        <x:v>Test suite</x:v>
      </x:c>
      <x:c r="B12" s="194" t="str">
        <x:v>Total</x:v>
      </x:c>
      <x:c r="C12" s="194" t="str">
        <x:v>Pass</x:v>
      </x:c>
      <x:c r="D12" s="194" t="str">
        <x:v>Fail</x:v>
      </x:c>
      <x:c r="E12" s="194" t="str">
        <x:v>Blocked</x:v>
      </x:c>
      <x:c r="F12" s="194" t="str">
        <x:v>Pending</x:v>
      </x:c>
      <x:c r="G12" s="194" t="str">
        <x:v>N/A</x:v>
      </x:c>
      <x:c r="H12" s="194" t="str">
        <x:v>Applicable completion %</x:v>
      </x:c>
      <x:c r="I12" s="194" t="str">
        <x:v>Required open</x:v>
      </x:c>
      <x:c r="J12" s="194" t="str">
        <x:v>Detail flags</x:v>
      </x:c>
    </x:row>
    <x:row r="13" ht="31" customHeight="1">
      <x:c r="A13" s="282" t="str">
        <x:v>01 Live Website</x:v>
      </x:c>
      <x:c r="B13" s="282" t="n">
        <x:f>COUNTA('01 Live Website'!A9:A42)</x:f>
        <x:v>34</x:v>
      </x:c>
      <x:c r="C13" s="282" t="n">
        <x:f>COUNTIF('01 Live Website'!E9:E42,"Pass")</x:f>
        <x:v>34</x:v>
      </x:c>
      <x:c r="D13" s="282" t="n">
        <x:f>COUNTIF('01 Live Website'!E9:E42,"Fail")</x:f>
        <x:v>0</x:v>
      </x:c>
      <x:c r="E13" s="282" t="n">
        <x:f>COUNTIF('01 Live Website'!E9:E42,"Blocked")</x:f>
        <x:v>0</x:v>
      </x:c>
      <x:c r="F13" s="282" t="n">
        <x:f>COUNTIF('01 Live Website'!E9:E42,"Not run")+COUNTIF('01 Live Website'!E9:E42,"In progress")+COUNTIF('01 Live Website'!E9:E42,"Retest due")</x:f>
        <x:v>0</x:v>
      </x:c>
      <x:c r="G13" s="282" t="n">
        <x:f>COUNTIF('01 Live Website'!E9:E42,"N/A")</x:f>
        <x:v>0</x:v>
      </x:c>
      <x:c r="H13" s="283" t="n">
        <x:f>IFERROR((C13+D13)/(B13-G13),0)</x:f>
        <x:v>1</x:v>
      </x:c>
      <x:c r="I13" s="282" t="n">
        <x:f>COUNTIFS('01 Live Website'!C9:C42,"&lt;&gt;P2 - Polish",'01 Live Website'!E9:E42,"&lt;&gt;Pass",'01 Live Website'!E9:E42,"&lt;&gt;N/A")</x:f>
        <x:v>0</x:v>
      </x:c>
      <x:c r="J13" s="282" t="n">
        <x:f>COUNTIFS('01 Live Website'!E9:E42,"Fail",'01 Live Website'!F9:F42,"")+COUNTIFS('01 Live Website'!E9:E42,"Blocked",'01 Live Website'!F9:F42,"")+COUNTIFS('01 Live Website'!E9:E42,"N/A",'01 Live Website'!F9:F42,"")+COUNTIFS('01 Live Website'!E9:E42,"Pass",'01 Live Website'!L9:L42,"")+COUNTIFS('01 Live Website'!C9:C42,"P0 - Critical",'01 Live Website'!E9:E42,"Pass",'01 Live Website'!J9:J42,"")</x:f>
        <x:v>0</x:v>
      </x:c>
    </x:row>
    <x:row r="14" ht="31" customHeight="1">
      <x:c r="A14" s="284" t="str">
        <x:v>02 Orbit Public</x:v>
      </x:c>
      <x:c r="B14" s="284" t="n">
        <x:f>COUNTA('02 Orbit Public'!A9:A36)</x:f>
        <x:v>28</x:v>
      </x:c>
      <x:c r="C14" s="284" t="n">
        <x:f>COUNTIF('02 Orbit Public'!E9:E36,"Pass")</x:f>
        <x:v>26</x:v>
      </x:c>
      <x:c r="D14" s="284" t="n">
        <x:f>COUNTIF('02 Orbit Public'!E9:E36,"Fail")</x:f>
        <x:v>1</x:v>
      </x:c>
      <x:c r="E14" s="284" t="n">
        <x:f>COUNTIF('02 Orbit Public'!E9:E36,"Blocked")</x:f>
        <x:v>0</x:v>
      </x:c>
      <x:c r="F14" s="284" t="n">
        <x:f>COUNTIF('02 Orbit Public'!E9:E36,"Not run")+COUNTIF('02 Orbit Public'!E9:E36,"In progress")+COUNTIF('02 Orbit Public'!E9:E36,"Retest due")</x:f>
        <x:v>0</x:v>
      </x:c>
      <x:c r="G14" s="284" t="n">
        <x:f>COUNTIF('02 Orbit Public'!E9:E36,"N/A")</x:f>
        <x:v>1</x:v>
      </x:c>
      <x:c r="H14" s="285" t="n">
        <x:f>IFERROR((C14+D14)/(B14-G14),0)</x:f>
        <x:v>1</x:v>
      </x:c>
      <x:c r="I14" s="284" t="n">
        <x:f>COUNTIFS('02 Orbit Public'!C9:C36,"&lt;&gt;P2 - Polish",'02 Orbit Public'!E9:E36,"&lt;&gt;Pass",'02 Orbit Public'!E9:E36,"&lt;&gt;N/A")</x:f>
        <x:v>1</x:v>
      </x:c>
      <x:c r="J14" s="284" t="n">
        <x:f>COUNTIFS('02 Orbit Public'!E9:E36,"Fail",'02 Orbit Public'!F9:F36,"")+COUNTIFS('02 Orbit Public'!E9:E36,"Blocked",'02 Orbit Public'!F9:F36,"")+COUNTIFS('02 Orbit Public'!E9:E36,"N/A",'02 Orbit Public'!F9:F36,"")+COUNTIFS('02 Orbit Public'!E9:E36,"Pass",'02 Orbit Public'!L9:L36,"")+COUNTIFS('02 Orbit Public'!C9:C36,"P0 - Critical",'02 Orbit Public'!E9:E36,"Pass",'02 Orbit Public'!J9:J36,"")</x:f>
        <x:v>0</x:v>
      </x:c>
    </x:row>
    <x:row r="15" ht="31" customHeight="1">
      <x:c r="A15" s="282" t="str">
        <x:v>03 Reactor Public</x:v>
      </x:c>
      <x:c r="B15" s="282" t="n">
        <x:f>COUNTA('03 Reactor Public'!A9:A34)</x:f>
        <x:v>26</x:v>
      </x:c>
      <x:c r="C15" s="282" t="n">
        <x:f>COUNTIF('03 Reactor Public'!E9:E34,"Pass")</x:f>
        <x:v>23</x:v>
      </x:c>
      <x:c r="D15" s="282" t="n">
        <x:f>COUNTIF('03 Reactor Public'!E9:E34,"Fail")</x:f>
        <x:v>2</x:v>
      </x:c>
      <x:c r="E15" s="282" t="n">
        <x:f>COUNTIF('03 Reactor Public'!E9:E34,"Blocked")</x:f>
        <x:v>0</x:v>
      </x:c>
      <x:c r="F15" s="282" t="n">
        <x:f>COUNTIF('03 Reactor Public'!E9:E34,"Not run")+COUNTIF('03 Reactor Public'!E9:E34,"In progress")+COUNTIF('03 Reactor Public'!E9:E34,"Retest due")</x:f>
        <x:v>0</x:v>
      </x:c>
      <x:c r="G15" s="282" t="n">
        <x:f>COUNTIF('03 Reactor Public'!E9:E34,"N/A")</x:f>
        <x:v>1</x:v>
      </x:c>
      <x:c r="H15" s="283" t="n">
        <x:f>IFERROR((C15+D15)/(B15-G15),0)</x:f>
        <x:v>1</x:v>
      </x:c>
      <x:c r="I15" s="282" t="n">
        <x:f>COUNTIFS('03 Reactor Public'!C9:C34,"&lt;&gt;P2 - Polish",'03 Reactor Public'!E9:E34,"&lt;&gt;Pass",'03 Reactor Public'!E9:E34,"&lt;&gt;N/A")</x:f>
        <x:v>2</x:v>
      </x:c>
      <x:c r="J15" s="282" t="n">
        <x:f>COUNTIFS('03 Reactor Public'!E9:E34,"Fail",'03 Reactor Public'!F9:F34,"")+COUNTIFS('03 Reactor Public'!E9:E34,"Blocked",'03 Reactor Public'!F9:F34,"")+COUNTIFS('03 Reactor Public'!E9:E34,"N/A",'03 Reactor Public'!F9:F34,"")+COUNTIFS('03 Reactor Public'!E9:E34,"Pass",'03 Reactor Public'!L9:L34,"")+COUNTIFS('03 Reactor Public'!C9:C34,"P0 - Critical",'03 Reactor Public'!E9:E34,"Pass",'03 Reactor Public'!J9:J34,"")</x:f>
        <x:v>0</x:v>
      </x:c>
    </x:row>
    <x:row r="16" ht="31" customHeight="1">
      <x:c r="A16" s="284" t="str">
        <x:v>04 Ads DEV</x:v>
      </x:c>
      <x:c r="B16" s="284" t="n">
        <x:f>COUNTA('04 Ads DEV'!A9:A54)</x:f>
        <x:v>46</x:v>
      </x:c>
      <x:c r="C16" s="284" t="n">
        <x:f>COUNTIF('04 Ads DEV'!E9:E54,"Pass")</x:f>
        <x:v>46</x:v>
      </x:c>
      <x:c r="D16" s="284" t="n">
        <x:f>COUNTIF('04 Ads DEV'!E9:E54,"Fail")</x:f>
        <x:v>0</x:v>
      </x:c>
      <x:c r="E16" s="284" t="n">
        <x:f>COUNTIF('04 Ads DEV'!E9:E54,"Blocked")</x:f>
        <x:v>0</x:v>
      </x:c>
      <x:c r="F16" s="284" t="n">
        <x:f>COUNTIF('04 Ads DEV'!E9:E54,"Not run")+COUNTIF('04 Ads DEV'!E9:E54,"In progress")+COUNTIF('04 Ads DEV'!E9:E54,"Retest due")</x:f>
        <x:v>0</x:v>
      </x:c>
      <x:c r="G16" s="284" t="n">
        <x:f>COUNTIF('04 Ads DEV'!E9:E54,"N/A")</x:f>
        <x:v>0</x:v>
      </x:c>
      <x:c r="H16" s="285" t="n">
        <x:f>IFERROR((C16+D16)/(B16-G16),0)</x:f>
        <x:v>1</x:v>
      </x:c>
      <x:c r="I16" s="284" t="n">
        <x:f>COUNTIFS('04 Ads DEV'!C9:C54,"&lt;&gt;P2 - Polish",'04 Ads DEV'!E9:E54,"&lt;&gt;Pass",'04 Ads DEV'!E9:E54,"&lt;&gt;N/A")</x:f>
        <x:v>0</x:v>
      </x:c>
      <x:c r="J16" s="284" t="n">
        <x:f>COUNTIFS('04 Ads DEV'!E9:E54,"Fail",'04 Ads DEV'!F9:F54,"")+COUNTIFS('04 Ads DEV'!E9:E54,"Blocked",'04 Ads DEV'!F9:F54,"")+COUNTIFS('04 Ads DEV'!E9:E54,"N/A",'04 Ads DEV'!F9:F54,"")+COUNTIFS('04 Ads DEV'!E9:E54,"Pass",'04 Ads DEV'!L9:L54,"")+COUNTIFS('04 Ads DEV'!C9:C54,"P0 - Critical",'04 Ads DEV'!E9:E54,"Pass",'04 Ads DEV'!J9:J54,"")</x:f>
        <x:v>0</x:v>
      </x:c>
    </x:row>
    <x:row r="17" ht="31" customHeight="1">
      <x:c r="A17" s="282" t="str">
        <x:v>05 Orbit Ads DEV</x:v>
      </x:c>
      <x:c r="B17" s="282" t="n">
        <x:f>COUNTA('05 Orbit Ads DEV'!A9:A36)</x:f>
        <x:v>28</x:v>
      </x:c>
      <x:c r="C17" s="282" t="n">
        <x:f>COUNTIF('05 Orbit Ads DEV'!E9:E36,"Pass")</x:f>
        <x:v>25</x:v>
      </x:c>
      <x:c r="D17" s="282" t="n">
        <x:f>COUNTIF('05 Orbit Ads DEV'!E9:E36,"Fail")</x:f>
        <x:v>2</x:v>
      </x:c>
      <x:c r="E17" s="282" t="n">
        <x:f>COUNTIF('05 Orbit Ads DEV'!E9:E36,"Blocked")</x:f>
        <x:v>0</x:v>
      </x:c>
      <x:c r="F17" s="282" t="n">
        <x:f>COUNTIF('05 Orbit Ads DEV'!E9:E36,"Not run")+COUNTIF('05 Orbit Ads DEV'!E9:E36,"In progress")+COUNTIF('05 Orbit Ads DEV'!E9:E36,"Retest due")</x:f>
        <x:v>0</x:v>
      </x:c>
      <x:c r="G17" s="282" t="n">
        <x:f>COUNTIF('05 Orbit Ads DEV'!E9:E36,"N/A")</x:f>
        <x:v>1</x:v>
      </x:c>
      <x:c r="H17" s="283" t="n">
        <x:f>IFERROR((C17+D17)/(B17-G17),0)</x:f>
        <x:v>1</x:v>
      </x:c>
      <x:c r="I17" s="282" t="n">
        <x:f>COUNTIFS('05 Orbit Ads DEV'!C9:C36,"&lt;&gt;P2 - Polish",'05 Orbit Ads DEV'!E9:E36,"&lt;&gt;Pass",'05 Orbit Ads DEV'!E9:E36,"&lt;&gt;N/A")</x:f>
        <x:v>2</x:v>
      </x:c>
      <x:c r="J17" s="282" t="n">
        <x:f>COUNTIFS('05 Orbit Ads DEV'!E9:E36,"Fail",'05 Orbit Ads DEV'!F9:F36,"")+COUNTIFS('05 Orbit Ads DEV'!E9:E36,"Blocked",'05 Orbit Ads DEV'!F9:F36,"")+COUNTIFS('05 Orbit Ads DEV'!E9:E36,"N/A",'05 Orbit Ads DEV'!F9:F36,"")+COUNTIFS('05 Orbit Ads DEV'!E9:E36,"Pass",'05 Orbit Ads DEV'!L9:L36,"")+COUNTIFS('05 Orbit Ads DEV'!C9:C36,"P0 - Critical",'05 Orbit Ads DEV'!E9:E36,"Pass",'05 Orbit Ads DEV'!J9:J36,"")</x:f>
        <x:v>0</x:v>
      </x:c>
    </x:row>
    <x:row r="18" ht="31" customHeight="1">
      <x:c r="A18" s="284" t="str">
        <x:v>06 Reactor Ads DEV</x:v>
      </x:c>
      <x:c r="B18" s="284" t="n">
        <x:f>COUNTA('06 Reactor Ads DEV'!A9:A43)</x:f>
        <x:v>35</x:v>
      </x:c>
      <x:c r="C18" s="284" t="n">
        <x:f>COUNTIF('06 Reactor Ads DEV'!E9:E43,"Pass")</x:f>
        <x:v>32</x:v>
      </x:c>
      <x:c r="D18" s="284" t="n">
        <x:f>COUNTIF('06 Reactor Ads DEV'!E9:E43,"Fail")</x:f>
        <x:v>1</x:v>
      </x:c>
      <x:c r="E18" s="284" t="n">
        <x:f>COUNTIF('06 Reactor Ads DEV'!E9:E43,"Blocked")</x:f>
        <x:v>0</x:v>
      </x:c>
      <x:c r="F18" s="284" t="n">
        <x:f>COUNTIF('06 Reactor Ads DEV'!E9:E43,"Not run")+COUNTIF('06 Reactor Ads DEV'!E9:E43,"In progress")+COUNTIF('06 Reactor Ads DEV'!E9:E43,"Retest due")</x:f>
        <x:v>0</x:v>
      </x:c>
      <x:c r="G18" s="284" t="n">
        <x:f>COUNTIF('06 Reactor Ads DEV'!E9:E43,"N/A")</x:f>
        <x:v>2</x:v>
      </x:c>
      <x:c r="H18" s="285" t="n">
        <x:f>IFERROR((C18+D18)/(B18-G18),0)</x:f>
        <x:v>1</x:v>
      </x:c>
      <x:c r="I18" s="284" t="n">
        <x:f>COUNTIFS('06 Reactor Ads DEV'!C9:C43,"&lt;&gt;P2 - Polish",'06 Reactor Ads DEV'!E9:E43,"&lt;&gt;Pass",'06 Reactor Ads DEV'!E9:E43,"&lt;&gt;N/A")</x:f>
        <x:v>1</x:v>
      </x:c>
      <x:c r="J18" s="284" t="n">
        <x:f>COUNTIFS('06 Reactor Ads DEV'!E9:E43,"Fail",'06 Reactor Ads DEV'!F9:F43,"")+COUNTIFS('06 Reactor Ads DEV'!E9:E43,"Blocked",'06 Reactor Ads DEV'!F9:F43,"")+COUNTIFS('06 Reactor Ads DEV'!E9:E43,"N/A",'06 Reactor Ads DEV'!F9:F43,"")+COUNTIFS('06 Reactor Ads DEV'!E9:E43,"Pass",'06 Reactor Ads DEV'!L9:L43,"")+COUNTIFS('06 Reactor Ads DEV'!C9:C43,"P0 - Critical",'06 Reactor Ads DEV'!E9:E43,"Pass",'06 Reactor Ads DEV'!J9:J43,"")</x:f>
        <x:v>0</x:v>
      </x:c>
    </x:row>
    <x:row r="19" ht="31" customHeight="1">
      <x:c r="A19" s="282" t="str">
        <x:v>07 Game DEV Panels</x:v>
      </x:c>
      <x:c r="B19" s="282" t="n">
        <x:f>COUNTA('07 Game DEV Panels'!A9:A67)</x:f>
        <x:v>59</x:v>
      </x:c>
      <x:c r="C19" s="282" t="n">
        <x:f>COUNTIF('07 Game DEV Panels'!E9:E67,"Pass")</x:f>
        <x:v>57</x:v>
      </x:c>
      <x:c r="D19" s="282" t="n">
        <x:f>COUNTIF('07 Game DEV Panels'!E9:E67,"Fail")</x:f>
        <x:v>0</x:v>
      </x:c>
      <x:c r="E19" s="282" t="n">
        <x:f>COUNTIF('07 Game DEV Panels'!E9:E67,"Blocked")</x:f>
        <x:v>0</x:v>
      </x:c>
      <x:c r="F19" s="282" t="n">
        <x:f>COUNTIF('07 Game DEV Panels'!E9:E67,"Not run")+COUNTIF('07 Game DEV Panels'!E9:E67,"In progress")+COUNTIF('07 Game DEV Panels'!E9:E67,"Retest due")</x:f>
        <x:v>0</x:v>
      </x:c>
      <x:c r="G19" s="282" t="n">
        <x:f>COUNTIF('07 Game DEV Panels'!E9:E67,"N/A")</x:f>
        <x:v>2</x:v>
      </x:c>
      <x:c r="H19" s="283" t="n">
        <x:f>IFERROR((C19+D19)/(B19-G19),0)</x:f>
        <x:v>1</x:v>
      </x:c>
      <x:c r="I19" s="282" t="n">
        <x:f>COUNTIFS('07 Game DEV Panels'!C9:C67,"&lt;&gt;P2 - Polish",'07 Game DEV Panels'!E9:E67,"&lt;&gt;Pass",'07 Game DEV Panels'!E9:E67,"&lt;&gt;N/A")</x:f>
        <x:v>0</x:v>
      </x:c>
      <x:c r="J19" s="282" t="n">
        <x:f>COUNTIFS('07 Game DEV Panels'!E9:E67,"Fail",'07 Game DEV Panels'!F9:F67,"")+COUNTIFS('07 Game DEV Panels'!E9:E67,"Blocked",'07 Game DEV Panels'!F9:F67,"")+COUNTIFS('07 Game DEV Panels'!E9:E67,"N/A",'07 Game DEV Panels'!F9:F67,"")+COUNTIFS('07 Game DEV Panels'!E9:E67,"Pass",'07 Game DEV Panels'!L9:L67,"")+COUNTIFS('07 Game DEV Panels'!C9:C67,"P0 - Critical",'07 Game DEV Panels'!E9:E67,"Pass",'07 Game DEV Panels'!J9:J67,"")</x:f>
        <x:v>0</x:v>
      </x:c>
    </x:row>
    <x:row r="20" ht="31" customHeight="1">
      <x:c r="A20" s="284" t="str">
        <x:v>08 Data Build</x:v>
      </x:c>
      <x:c r="B20" s="284" t="n">
        <x:f>COUNTA('08 Data Build'!A9:A35)</x:f>
        <x:v>27</x:v>
      </x:c>
      <x:c r="C20" s="284" t="n">
        <x:f>COUNTIF('08 Data Build'!E9:E35,"Pass")</x:f>
        <x:v>27</x:v>
      </x:c>
      <x:c r="D20" s="284" t="n">
        <x:f>COUNTIF('08 Data Build'!E9:E35,"Fail")</x:f>
        <x:v>0</x:v>
      </x:c>
      <x:c r="E20" s="284" t="n">
        <x:f>COUNTIF('08 Data Build'!E9:E35,"Blocked")</x:f>
        <x:v>0</x:v>
      </x:c>
      <x:c r="F20" s="284" t="n">
        <x:f>COUNTIF('08 Data Build'!E9:E35,"Not run")+COUNTIF('08 Data Build'!E9:E35,"In progress")+COUNTIF('08 Data Build'!E9:E35,"Retest due")</x:f>
        <x:v>0</x:v>
      </x:c>
      <x:c r="G20" s="284" t="n">
        <x:f>COUNTIF('08 Data Build'!E9:E35,"N/A")</x:f>
        <x:v>0</x:v>
      </x:c>
      <x:c r="H20" s="285" t="n">
        <x:f>IFERROR((C20+D20)/(B20-G20),0)</x:f>
        <x:v>1</x:v>
      </x:c>
      <x:c r="I20" s="284" t="n">
        <x:f>COUNTIFS('08 Data Build'!C9:C35,"&lt;&gt;P2 - Polish",'08 Data Build'!E9:E35,"&lt;&gt;Pass",'08 Data Build'!E9:E35,"&lt;&gt;N/A")</x:f>
        <x:v>0</x:v>
      </x:c>
      <x:c r="J20" s="284" t="n">
        <x:f>COUNTIFS('08 Data Build'!E9:E35,"Fail",'08 Data Build'!F9:F35,"")+COUNTIFS('08 Data Build'!E9:E35,"Blocked",'08 Data Build'!F9:F35,"")+COUNTIFS('08 Data Build'!E9:E35,"N/A",'08 Data Build'!F9:F35,"")+COUNTIFS('08 Data Build'!E9:E35,"Pass",'08 Data Build'!L9:L35,"")+COUNTIFS('08 Data Build'!C9:C35,"P0 - Critical",'08 Data Build'!E9:E35,"Pass",'08 Data Build'!J9:J35,"")</x:f>
        <x:v>0</x:v>
      </x:c>
    </x:row>
    <x:row r="21" ht="31" customHeight="1">
      <x:c r="A21" s="282" t="str">
        <x:v>09 Production Preview</x:v>
      </x:c>
      <x:c r="B21" s="282" t="n">
        <x:f>COUNTA('09 Production Preview'!A9:A23)</x:f>
        <x:v>15</x:v>
      </x:c>
      <x:c r="C21" s="282" t="n">
        <x:f>COUNTIF('09 Production Preview'!E9:E23,"Pass")</x:f>
        <x:v>15</x:v>
      </x:c>
      <x:c r="D21" s="282" t="n">
        <x:f>COUNTIF('09 Production Preview'!E9:E23,"Fail")</x:f>
        <x:v>0</x:v>
      </x:c>
      <x:c r="E21" s="282" t="n">
        <x:f>COUNTIF('09 Production Preview'!E9:E23,"Blocked")</x:f>
        <x:v>0</x:v>
      </x:c>
      <x:c r="F21" s="282" t="n">
        <x:f>COUNTIF('09 Production Preview'!E9:E23,"Not run")+COUNTIF('09 Production Preview'!E9:E23,"In progress")+COUNTIF('09 Production Preview'!E9:E23,"Retest due")</x:f>
        <x:v>0</x:v>
      </x:c>
      <x:c r="G21" s="282" t="n">
        <x:f>COUNTIF('09 Production Preview'!E9:E23,"N/A")</x:f>
        <x:v>0</x:v>
      </x:c>
      <x:c r="H21" s="283" t="n">
        <x:f>IFERROR((C21+D21)/(B21-G21),0)</x:f>
        <x:v>1</x:v>
      </x:c>
      <x:c r="I21" s="282" t="n">
        <x:f>COUNTIFS('09 Production Preview'!C9:C23,"&lt;&gt;P2 - Polish",'09 Production Preview'!E9:E23,"&lt;&gt;Pass",'09 Production Preview'!E9:E23,"&lt;&gt;N/A")</x:f>
        <x:v>0</x:v>
      </x:c>
      <x:c r="J21" s="282" t="n">
        <x:f>COUNTIFS('09 Production Preview'!E9:E23,"Fail",'09 Production Preview'!F9:F23,"")+COUNTIFS('09 Production Preview'!E9:E23,"Blocked",'09 Production Preview'!F9:F23,"")+COUNTIFS('09 Production Preview'!E9:E23,"N/A",'09 Production Preview'!F9:F23,"")+COUNTIFS('09 Production Preview'!E9:E23,"Pass",'09 Production Preview'!L9:L23,"")+COUNTIFS('09 Production Preview'!C9:C23,"P0 - Critical",'09 Production Preview'!E9:E23,"Pass",'09 Production Preview'!J9:J23,"")</x:f>
        <x:v>0</x:v>
      </x:c>
    </x:row>
    <x:row r="22" ht="31" customHeight="1">
      <x:c r="A22" s="284" t="str">
        <x:v>10 Device Matrix</x:v>
      </x:c>
      <x:c r="B22" s="284" t="n">
        <x:f>COUNTA('10 Device Matrix'!A9:A42)</x:f>
        <x:v>34</x:v>
      </x:c>
      <x:c r="C22" s="284" t="n">
        <x:f>COUNTIF('10 Device Matrix'!E9:E42,"Pass")</x:f>
        <x:v>31</x:v>
      </x:c>
      <x:c r="D22" s="284" t="n">
        <x:f>COUNTIF('10 Device Matrix'!E9:E42,"Fail")</x:f>
        <x:v>2</x:v>
      </x:c>
      <x:c r="E22" s="284" t="n">
        <x:f>COUNTIF('10 Device Matrix'!E9:E42,"Blocked")</x:f>
        <x:v>0</x:v>
      </x:c>
      <x:c r="F22" s="284" t="n">
        <x:f>COUNTIF('10 Device Matrix'!E9:E42,"Not run")+COUNTIF('10 Device Matrix'!E9:E42,"In progress")+COUNTIF('10 Device Matrix'!E9:E42,"Retest due")</x:f>
        <x:v>0</x:v>
      </x:c>
      <x:c r="G22" s="284" t="n">
        <x:f>COUNTIF('10 Device Matrix'!E9:E42,"N/A")</x:f>
        <x:v>1</x:v>
      </x:c>
      <x:c r="H22" s="285" t="n">
        <x:f>IFERROR((C22+D22)/(B22-G22),0)</x:f>
        <x:v>1</x:v>
      </x:c>
      <x:c r="I22" s="284" t="n">
        <x:f>COUNTIFS('10 Device Matrix'!C9:C42,"&lt;&gt;P2 - Polish",'10 Device Matrix'!E9:E42,"&lt;&gt;Pass",'10 Device Matrix'!E9:E42,"&lt;&gt;N/A")</x:f>
        <x:v>2</x:v>
      </x:c>
      <x:c r="J22" s="284" t="n">
        <x:f>COUNTIFS('10 Device Matrix'!E9:E42,"Fail",'10 Device Matrix'!F9:F42,"")+COUNTIFS('10 Device Matrix'!E9:E42,"Blocked",'10 Device Matrix'!F9:F42,"")+COUNTIFS('10 Device Matrix'!E9:E42,"N/A",'10 Device Matrix'!F9:F42,"")+COUNTIFS('10 Device Matrix'!E9:E42,"Pass",'10 Device Matrix'!L9:L42,"")+COUNTIFS('10 Device Matrix'!C9:C42,"P0 - Critical",'10 Device Matrix'!E9:E42,"Pass",'10 Device Matrix'!J9:J42,"")</x:f>
        <x:v>0</x:v>
      </x:c>
    </x:row>
    <x:row r="23" ht="31" customHeight="1">
      <x:c r="A23" s="60" t="str">
        <x:v>TOTAL</x:v>
      </x:c>
      <x:c r="B23" s="60" t="n">
        <x:f>SUM(B13:B22)</x:f>
        <x:v>332</x:v>
      </x:c>
      <x:c r="C23" s="60" t="n">
        <x:f>SUM(C13:C22)</x:f>
        <x:v>316</x:v>
      </x:c>
      <x:c r="D23" s="60" t="n">
        <x:f>SUM(D13:D22)</x:f>
        <x:v>8</x:v>
      </x:c>
      <x:c r="E23" s="60" t="n">
        <x:f>SUM(E13:E22)</x:f>
        <x:v>0</x:v>
      </x:c>
      <x:c r="F23" s="60" t="n">
        <x:f>SUM(F13:F22)</x:f>
        <x:v>0</x:v>
      </x:c>
      <x:c r="G23" s="60" t="n">
        <x:f>SUM(G13:G22)</x:f>
        <x:v>8</x:v>
      </x:c>
      <x:c r="H23" s="286" t="n">
        <x:f>IFERROR((C23+D23)/(B23-G23),0)</x:f>
        <x:v>1</x:v>
      </x:c>
      <x:c r="I23" s="60" t="n">
        <x:f>SUM(I13:I22)</x:f>
        <x:v>8</x:v>
      </x:c>
      <x:c r="J23" s="60" t="n">
        <x:f>SUM(J13:J22)</x:f>
        <x:v>0</x:v>
      </x:c>
    </x:row>
    <x:row r="24" ht="22" customHeight="1">
      <x:c r="A24" s="63"/>
      <x:c r="B24" s="63"/>
      <x:c r="C24" s="63"/>
      <x:c r="D24" s="63"/>
      <x:c r="E24" s="63"/>
      <x:c r="F24" s="63"/>
      <x:c r="G24" s="63"/>
      <x:c r="H24" s="63"/>
      <x:c r="I24" s="63"/>
      <x:c r="J24" s="63"/>
    </x:row>
    <x:row r="25" ht="22" customHeight="1">
      <x:c r="A25" s="220" t="str">
        <x:v>BUG LOG: titled rows missing severity or status</x:v>
      </x:c>
      <x:c r="B25" s="220"/>
      <x:c r="C25" s="220"/>
      <x:c r="D25" s="220"/>
      <x:c r="E25" s="220"/>
      <x:c r="F25" s="220"/>
      <x:c r="G25" s="220"/>
      <x:c r="H25" s="63" t="n">
        <x:f>COUNTIFS('Bug Log'!F9:F48,"&lt;&gt;",'Bug Log'!D9:D48,"")+COUNTIFS('Bug Log'!F9:F48,"&lt;&gt;",'Bug Log'!E9:E48,"")</x:f>
        <x:v>0</x:v>
      </x:c>
      <x:c r="I25" s="63"/>
      <x:c r="J25" s="63"/>
    </x:row>
    <x:row r="26" ht="22" customHeight="1">
      <x:c r="A26" s="63"/>
      <x:c r="B26" s="63"/>
      <x:c r="C26" s="63"/>
      <x:c r="D26" s="63"/>
      <x:c r="E26" s="63"/>
      <x:c r="F26" s="63"/>
      <x:c r="G26" s="63"/>
      <x:c r="H26" s="63"/>
      <x:c r="I26" s="63"/>
      <x:c r="J26" s="63"/>
    </x:row>
    <x:row r="27" ht="22" customHeight="1">
      <x:c r="A27" s="226" t="str">
        <x:f>IF(AND(D23=0,E23+F23=0,C23=B23-G23,H6=0,H38="Yes"),"PRODUCT TECHNICAL GATE READY","NOT READY - successful targeted retests still required")</x:f>
        <x:v>NOT READY - successful targeted retests still required</x:v>
      </x:c>
      <x:c r="B27" s="226"/>
      <x:c r="C27" s="226"/>
      <x:c r="D27" s="226"/>
      <x:c r="E27" s="226"/>
      <x:c r="F27" s="226"/>
      <x:c r="G27" s="226"/>
      <x:c r="H27" s="226"/>
      <x:c r="I27" s="226"/>
      <x:c r="J27" s="226"/>
    </x:row>
    <x:row r="28" ht="22" customHeight="1">
      <x:c r="A28" s="226"/>
      <x:c r="B28" s="226"/>
      <x:c r="C28" s="226"/>
      <x:c r="D28" s="226"/>
      <x:c r="E28" s="226"/>
      <x:c r="F28" s="226"/>
      <x:c r="G28" s="226"/>
      <x:c r="H28" s="226"/>
      <x:c r="I28" s="226"/>
      <x:c r="J28" s="226"/>
    </x:row>
    <x:row r="29" ht="22" customHeight="1">
      <x:c r="A29" s="226"/>
      <x:c r="B29" s="226"/>
      <x:c r="C29" s="226"/>
      <x:c r="D29" s="226"/>
      <x:c r="E29" s="226"/>
      <x:c r="F29" s="226"/>
      <x:c r="G29" s="226"/>
      <x:c r="H29" s="226"/>
      <x:c r="I29" s="226"/>
      <x:c r="J29" s="226"/>
    </x:row>
    <x:row r="30" ht="22" customHeight="1">
      <x:c r="A30" s="63"/>
      <x:c r="B30" s="63"/>
      <x:c r="C30" s="63"/>
      <x:c r="D30" s="63"/>
      <x:c r="E30" s="63"/>
      <x:c r="F30" s="63"/>
      <x:c r="G30" s="63"/>
      <x:c r="H30" s="63"/>
      <x:c r="I30" s="63"/>
      <x:c r="J30" s="63"/>
    </x:row>
    <x:row r="31" ht="22" customHeight="1">
      <x:c r="A31" s="220" t="str">
        <x:v>Detail flags count: missing Actual notes on Fail/Blocked/N/A, missing Session on Pass, or missing Evidence on a P0 Pass. Fix those before sign-off. N/A still needs human approval. P2 polish does not block the product gate.</x:v>
      </x:c>
      <x:c r="B31" s="220"/>
      <x:c r="C31" s="220"/>
      <x:c r="D31" s="220"/>
      <x:c r="E31" s="220"/>
      <x:c r="F31" s="220"/>
      <x:c r="G31" s="220"/>
      <x:c r="H31" s="220"/>
      <x:c r="I31" s="220"/>
      <x:c r="J31" s="220"/>
    </x:row>
    <x:row r="32" ht="22" customHeight="1">
      <x:c r="A32" s="220" t="str">
        <x:v>Detail flags: missing Actual notes on Fail/Blocked/N/A, Session on Pass, or Evidence on P0 Pass. Every applicable case must Pass; approved N/A remains excluded.</x:v>
      </x:c>
      <x:c r="B32" s="220"/>
      <x:c r="C32" s="220"/>
      <x:c r="D32" s="220"/>
      <x:c r="E32" s="220"/>
      <x:c r="F32" s="220"/>
      <x:c r="G32" s="220"/>
      <x:c r="H32" s="220"/>
      <x:c r="I32" s="220"/>
      <x:c r="J32" s="220"/>
    </x:row>
    <x:row r="33" ht="22" customHeight="1">
      <x:c r="A33" s="220"/>
      <x:c r="B33" s="220"/>
      <x:c r="C33" s="220"/>
      <x:c r="D33" s="220"/>
      <x:c r="E33" s="220"/>
      <x:c r="F33" s="220"/>
      <x:c r="G33" s="220"/>
      <x:c r="H33" s="220"/>
      <x:c r="I33" s="220"/>
      <x:c r="J33" s="220"/>
    </x:row>
    <x:row r="34" ht="22" customHeight="1">
      <x:c r="A34" s="63"/>
      <x:c r="B34" s="63"/>
      <x:c r="C34" s="63"/>
      <x:c r="D34" s="63"/>
      <x:c r="E34" s="63"/>
      <x:c r="F34" s="63"/>
      <x:c r="G34" s="63"/>
      <x:c r="H34" s="63"/>
      <x:c r="I34" s="63"/>
      <x:c r="J34" s="63"/>
    </x:row>
    <x:row r="35" ht="22" customHeight="1">
      <x:c r="A35" s="172" t="str">
        <x:v>N/A EXCLUDED</x:v>
      </x:c>
      <x:c r="B35" s="172"/>
      <x:c r="C35" s="172"/>
      <x:c r="D35" s="172"/>
      <x:c r="E35" s="172"/>
      <x:c r="F35" s="172"/>
      <x:c r="G35" s="172"/>
      <x:c r="H35" s="172" t="n">
        <x:f>G23</x:f>
        <x:v>8</x:v>
      </x:c>
      <x:c r="I35" s="172"/>
      <x:c r="J35" s="172"/>
    </x:row>
    <x:row r="36" ht="22" customHeight="1">
      <x:c r="A36" s="172" t="str">
        <x:v>APPLICABLE CASES</x:v>
      </x:c>
      <x:c r="B36" s="172"/>
      <x:c r="C36" s="172"/>
      <x:c r="D36" s="172"/>
      <x:c r="E36" s="172"/>
      <x:c r="F36" s="172"/>
      <x:c r="G36" s="172"/>
      <x:c r="H36" s="172" t="n">
        <x:f>B23-G23</x:f>
        <x:v>324</x:v>
      </x:c>
      <x:c r="I36" s="172"/>
      <x:c r="J36" s="172"/>
    </x:row>
    <x:row r="37" ht="22" customHeight="1">
      <x:c r="A37" s="172" t="str">
        <x:v>BLOCKED / PENDING</x:v>
      </x:c>
      <x:c r="B37" s="172"/>
      <x:c r="C37" s="172"/>
      <x:c r="D37" s="172"/>
      <x:c r="E37" s="172"/>
      <x:c r="F37" s="172"/>
      <x:c r="G37" s="172"/>
      <x:c r="H37" s="172" t="n">
        <x:f>E23+F23</x:f>
        <x:v>0</x:v>
      </x:c>
      <x:c r="I37" s="172"/>
      <x:c r="J37" s="172"/>
    </x:row>
    <x:row r="38" ht="22" customHeight="1">
      <x:c r="A38" s="172" t="str">
        <x:v>FINAL TARGETED RETESTS COMPLETED (owner evidence)</x:v>
      </x:c>
      <x:c r="B38" s="172"/>
      <x:c r="C38" s="172"/>
      <x:c r="D38" s="172"/>
      <x:c r="E38" s="172"/>
      <x:c r="F38" s="172"/>
      <x:c r="G38" s="172"/>
      <x:c r="H38" s="172" t="str">
        <x:v>No</x:v>
      </x:c>
      <x:c r="I38" s="172"/>
      <x:c r="J38" s="172"/>
    </x:row>
    <x:row r="39" ht="22" customHeight="1">
      <x:c r="A39" s="63" t="str">
        <x:v>APPLICABLE PASS RATE</x:v>
      </x:c>
      <x:c r="B39" s="63"/>
      <x:c r="C39" s="63"/>
      <x:c r="D39" s="63"/>
      <x:c r="E39" s="63"/>
      <x:c r="F39" s="63"/>
      <x:c r="G39" s="63"/>
      <x:c r="H39" s="287" t="n">
        <x:f>IFERROR(C23/H36,0)</x:f>
        <x:v>0.9753086419753086</x:v>
      </x:c>
      <x:c r="I39" s="63"/>
      <x:c r="J39" s="63"/>
    </x:row>
    <x:row r="40" ht="22" customHeight="1">
      <x:c r="A40" s="63" t="str">
        <x:v>APPLICABLE COMPLETION RATE</x:v>
      </x:c>
      <x:c r="B40" s="63"/>
      <x:c r="C40" s="63"/>
      <x:c r="D40" s="63"/>
      <x:c r="E40" s="63"/>
      <x:c r="F40" s="63"/>
      <x:c r="G40" s="63"/>
      <x:c r="H40" s="287" t="n">
        <x:f>IFERROR((C23+D23)/H36,0)</x:f>
        <x:v>1</x:v>
      </x:c>
      <x:c r="I40" s="63"/>
      <x:c r="J40" s="63"/>
    </x:row>
    <x:row r="41" ht="22" customHeight="1">
      <x:c r="A41" s="63" t="str">
        <x:v>PASS</x:v>
      </x:c>
      <x:c r="B41" s="63"/>
      <x:c r="C41" s="63"/>
      <x:c r="D41" s="63"/>
      <x:c r="E41" s="63"/>
      <x:c r="F41" s="63"/>
      <x:c r="G41" s="63"/>
      <x:c r="H41" s="63" t="n">
        <x:f>C23</x:f>
        <x:v>316</x:v>
      </x:c>
      <x:c r="I41" s="63"/>
      <x:c r="J41" s="63"/>
    </x:row>
    <x:row r="42" ht="22" customHeight="1">
      <x:c r="A42" s="63" t="str">
        <x:v>FAIL</x:v>
      </x:c>
      <x:c r="B42" s="63"/>
      <x:c r="C42" s="63"/>
      <x:c r="D42" s="63"/>
      <x:c r="E42" s="63"/>
      <x:c r="F42" s="63"/>
      <x:c r="G42" s="63"/>
      <x:c r="H42" s="63" t="n">
        <x:f>D23</x:f>
        <x:v>8</x:v>
      </x:c>
      <x:c r="I42" s="63"/>
      <x:c r="J42" s="63"/>
    </x:row>
    <x:row r="43" ht="22" customHeight="1">
      <x:c r="A43" s="63" t="str">
        <x:v>STAGE 1: 316 Pass, 8 Fail and 8 N/A retained. V2-003 stays Deferred/N/A. Final closure follows successful post-merge human evidence.</x:v>
      </x:c>
      <x:c r="B43" s="63"/>
      <x:c r="C43" s="63"/>
      <x:c r="D43" s="63"/>
      <x:c r="E43" s="63"/>
      <x:c r="F43" s="63"/>
      <x:c r="G43" s="63"/>
      <x:c r="H43" s="63"/>
      <x:c r="I43" s="63"/>
      <x:c r="J43" s="63"/>
    </x:row>
  </x:sheetData>
  <x:mergeCells>
    <x:mergeCell ref="A1:J2"/>
    <x:mergeCell ref="A3:J3"/>
    <x:mergeCell ref="A5:B5"/>
    <x:mergeCell ref="A6:B8"/>
    <x:mergeCell ref="C5:E5"/>
    <x:mergeCell ref="C6:E8"/>
    <x:mergeCell ref="F5:G5"/>
    <x:mergeCell ref="F6:G8"/>
    <x:mergeCell ref="H5:J5"/>
    <x:mergeCell ref="H6:J8"/>
    <x:mergeCell ref="A10:J10"/>
    <x:mergeCell ref="A25:G25"/>
    <x:mergeCell ref="H25:J25"/>
    <x:mergeCell ref="A27:J29"/>
    <x:mergeCell ref="A31:J33"/>
    <x:mergeCell ref="A35:G35"/>
    <x:mergeCell ref="H35:J35"/>
    <x:mergeCell ref="A36:G36"/>
    <x:mergeCell ref="H36:J36"/>
    <x:mergeCell ref="A37:G37"/>
    <x:mergeCell ref="H37:J37"/>
    <x:mergeCell ref="A38:G38"/>
    <x:mergeCell ref="H38:J38"/>
    <x:mergeCell ref="A39:G39"/>
    <x:mergeCell ref="H39:J39"/>
    <x:mergeCell ref="A40:G40"/>
    <x:mergeCell ref="H40:J40"/>
    <x:mergeCell ref="A41:G41"/>
    <x:mergeCell ref="H41:J41"/>
    <x:mergeCell ref="A42:G42"/>
    <x:mergeCell ref="H42:J42"/>
    <x:mergeCell ref="A43:J43"/>
  </x:mergeCells>
  <x:conditionalFormatting sqref="H13:H22">
    <x:cfRule type="dataBar" priority="1">
      <x:dataBar>
        <x:cfvo type="min"/>
        <x:cfvo type="max"/>
        <x:color rgb="FF20A4AE"/>
      </x:dataBar>
      <x:extLst>
        <x:ext uri="{B025F937-C7B1-47D3-B67F-A62EFF666E3E}">
          <x14:id>{E5D2A047-4238-8741-E2B3-85669B88D1C8}</x14:id>
        </x:ext>
      </x:extLst>
    </x:cfRule>
  </x:conditionalFormatting>
  <x:conditionalFormatting sqref="I13:J22">
    <x:cfRule type="cellIs" dxfId="81" priority="2" operator="greaterThan">
      <x:formula>0</x:formula>
    </x:cfRule>
  </x:conditionalFormatting>
  <x:pageMargins left="0.7" right="0.7" top="0.75" bottom="0.75" header="0.3" footer="0.3"/>
  <x:extLst>
    <x:ext uri="{78C0D931-6437-407d-A8EE-F0AAD7539E65}">
      <x14:conditionalFormattings>
        <x14:conditionalFormatting>
          <x14:cfRule type="dataBar" priority="1" id="{E5D2A047-4238-8741-E2B3-85669B88D1C8}">
            <x14:dataBar gradient="0">
              <x14:cfvo type="min"/>
              <x14:cfvo type="max"/>
              <x14:fillColor rgb="FF20A4AE"/>
            </x14:dataBar>
          </x14:cfRule>
          <xm:sqref>H13:H22</xm:sqref>
        </x14:conditionalFormatting>
      </x14:conditionalFormattings>
    </x:ext>
  </x:extLst>
</x:worksheet>
</file>

<file path=xl/worksheets/sheet3.xml><?xml version="1.0" encoding="utf-8"?>
<x:worksheet xmlns:x="http://schemas.openxmlformats.org/spreadsheetml/2006/main">
  <x:sheetFormatPr defaultRowHeight="15"/>
  <x:cols>
    <x:col min="1" max="1" width="12" hidden="0" customWidth="1"/>
    <x:col min="2" max="2" width="19" hidden="0" customWidth="1"/>
    <x:col min="3" max="3" width="34" hidden="0" customWidth="1"/>
    <x:col min="4" max="4" width="28" hidden="0" customWidth="1"/>
    <x:col min="5" max="5" width="27" hidden="0" customWidth="1"/>
    <x:col min="6" max="6" width="22" hidden="0" customWidth="1"/>
    <x:col min="7" max="7" width="25" hidden="0" customWidth="1"/>
    <x:col min="8" max="8" width="22" hidden="0" customWidth="1"/>
    <x:col min="9" max="9" width="22" hidden="0" customWidth="1"/>
    <x:col min="10" max="10" width="16" hidden="0" customWidth="1"/>
    <x:col min="11" max="11" width="20" hidden="0" customWidth="1"/>
    <x:col min="12" max="12" width="20" hidden="0" customWidth="1"/>
    <x:col min="13" max="13" width="15" hidden="0" customWidth="1"/>
    <x:col min="14" max="14" width="24" hidden="0" customWidth="1"/>
    <x:col min="15" max="15" width="36" hidden="0" customWidth="1"/>
  </x:cols>
  <x:sheetData>
    <x:row r="1" ht="22" customHeight="1">
      <x:c r="A1" s="66" t="str">
        <x:v>TEST SESSIONS / BUILD RECORD</x:v>
      </x:c>
      <x:c r="B1" s="66"/>
      <x:c r="C1" s="66"/>
      <x:c r="D1" s="66"/>
      <x:c r="E1" s="66"/>
      <x:c r="F1" s="66"/>
      <x:c r="G1" s="66"/>
      <x:c r="H1" s="66"/>
      <x:c r="I1" s="66"/>
      <x:c r="J1" s="66"/>
      <x:c r="K1" s="66"/>
      <x:c r="L1" s="66"/>
      <x:c r="M1" s="66"/>
      <x:c r="N1" s="66"/>
      <x:c r="O1" s="66"/>
    </x:row>
    <x:row r="2" ht="22" customHeight="1">
      <x:c r="A2" s="66"/>
      <x:c r="B2" s="66"/>
      <x:c r="C2" s="66"/>
      <x:c r="D2" s="66"/>
      <x:c r="E2" s="66"/>
      <x:c r="F2" s="66"/>
      <x:c r="G2" s="66"/>
      <x:c r="H2" s="66"/>
      <x:c r="I2" s="66"/>
      <x:c r="J2" s="66"/>
      <x:c r="K2" s="66"/>
      <x:c r="L2" s="66"/>
      <x:c r="M2" s="66"/>
      <x:c r="N2" s="66"/>
      <x:c r="O2" s="66"/>
    </x:row>
    <x:row r="3" ht="27" customHeight="1">
      <x:c r="A3" s="69" t="str">
        <x:v>One row per actual environment + device + browser. Tested SHA/device fields are intentionally blank.</x:v>
      </x:c>
      <x:c r="B3" s="69"/>
      <x:c r="C3" s="69"/>
      <x:c r="D3" s="69"/>
      <x:c r="E3" s="69"/>
      <x:c r="F3" s="69"/>
      <x:c r="G3" s="69"/>
      <x:c r="H3" s="69"/>
      <x:c r="I3" s="69"/>
      <x:c r="J3" s="69"/>
      <x:c r="K3" s="69"/>
      <x:c r="L3" s="69"/>
      <x:c r="M3" s="69"/>
      <x:c r="N3" s="69"/>
      <x:c r="O3" s="69"/>
    </x:row>
    <x:row r="4" ht="22" customHeight="1">
      <x:c r="A4" s="63"/>
      <x:c r="B4" s="63"/>
      <x:c r="C4" s="63"/>
      <x:c r="D4" s="63"/>
      <x:c r="E4" s="63"/>
      <x:c r="F4" s="63"/>
      <x:c r="G4" s="63"/>
      <x:c r="H4" s="63"/>
      <x:c r="I4" s="63"/>
      <x:c r="J4" s="63"/>
      <x:c r="K4" s="63"/>
      <x:c r="L4" s="63"/>
      <x:c r="M4" s="63"/>
      <x:c r="N4" s="63"/>
      <x:c r="O4" s="63"/>
    </x:row>
    <x:row r="5" ht="22" customHeight="1">
      <x:c r="A5" s="166" t="str">
        <x:v>Target snapshot: 42e8b2007980756a21d17f0e5c0bbd9c8d13d325. Deployment run 37344149677 was observed successful. This is not a pre-approved browser test. Old PC2 launchers can point to earlier feature branches.</x:v>
      </x:c>
      <x:c r="B5" s="166"/>
      <x:c r="C5" s="166"/>
      <x:c r="D5" s="166"/>
      <x:c r="E5" s="166"/>
      <x:c r="F5" s="166"/>
      <x:c r="G5" s="166"/>
      <x:c r="H5" s="166"/>
      <x:c r="I5" s="166"/>
      <x:c r="J5" s="166"/>
      <x:c r="K5" s="166"/>
      <x:c r="L5" s="166"/>
      <x:c r="M5" s="166"/>
      <x:c r="N5" s="166"/>
      <x:c r="O5" s="166"/>
    </x:row>
    <x:row r="6" ht="22" customHeight="1">
      <x:c r="A6" s="166"/>
      <x:c r="B6" s="166"/>
      <x:c r="C6" s="166"/>
      <x:c r="D6" s="166"/>
      <x:c r="E6" s="166"/>
      <x:c r="F6" s="166"/>
      <x:c r="G6" s="166"/>
      <x:c r="H6" s="166"/>
      <x:c r="I6" s="166"/>
      <x:c r="J6" s="166"/>
      <x:c r="K6" s="166"/>
      <x:c r="L6" s="166"/>
      <x:c r="M6" s="166"/>
      <x:c r="N6" s="166"/>
      <x:c r="O6" s="166"/>
    </x:row>
    <x:row r="7" ht="22" customHeight="1">
      <x:c r="A7" s="63"/>
      <x:c r="B7" s="63"/>
      <x:c r="C7" s="63"/>
      <x:c r="D7" s="63"/>
      <x:c r="E7" s="63"/>
      <x:c r="F7" s="63"/>
      <x:c r="G7" s="63"/>
      <x:c r="H7" s="63"/>
      <x:c r="I7" s="63"/>
      <x:c r="J7" s="63"/>
      <x:c r="K7" s="63"/>
      <x:c r="L7" s="63"/>
      <x:c r="M7" s="63"/>
      <x:c r="N7" s="63"/>
      <x:c r="O7" s="63"/>
    </x:row>
    <x:row r="8" ht="35" customHeight="1">
      <x:c r="A8" s="194" t="str">
        <x:v>Session ID</x:v>
      </x:c>
      <x:c r="B8" s="194" t="str">
        <x:v>Environment</x:v>
      </x:c>
      <x:c r="C8" s="194" t="str">
        <x:v>Base URL</x:v>
      </x:c>
      <x:c r="D8" s="194" t="str">
        <x:v>Actually tested SHA</x:v>
      </x:c>
      <x:c r="E8" s="194" t="str">
        <x:v>Computer / device</x:v>
      </x:c>
      <x:c r="F8" s="194" t="str">
        <x:v>OS / version</x:v>
      </x:c>
      <x:c r="G8" s="194" t="str">
        <x:v>Browser / version</x:v>
      </x:c>
      <x:c r="H8" s="194" t="str">
        <x:v>Viewport CSS px</x:v>
      </x:c>
      <x:c r="I8" s="194" t="str">
        <x:v>Actual iframe px</x:v>
      </x:c>
      <x:c r="J8" s="194" t="str">
        <x:v>Zoom / DPR</x:v>
      </x:c>
      <x:c r="K8" s="194" t="str">
        <x:v>Input method</x:v>
      </x:c>
      <x:c r="L8" s="194" t="str">
        <x:v>Tester</x:v>
      </x:c>
      <x:c r="M8" s="194" t="str">
        <x:v>Started date</x:v>
      </x:c>
      <x:c r="N8" s="194" t="str">
        <x:v>Browser profile</x:v>
      </x:c>
      <x:c r="O8" s="194" t="str">
        <x:v>Notes / constraints</x:v>
      </x:c>
    </x:row>
    <x:row r="9" ht="58" customHeight="1">
      <x:c r="A9" s="48" t="str">
        <x:v>S01</x:v>
      </x:c>
      <x:c r="B9" s="48" t="str">
        <x:v>LIVE</x:v>
      </x:c>
      <x:c r="C9" s="48" t="str">
        <x:v>https://odesosgames.com/</x:v>
      </x:c>
      <x:c r="D9" s="48" t="str">
        <x:v>42e8b2007980756a21d17f0e5c0bbd9c8d13d325</x:v>
      </x:c>
      <x:c r="E9" s="48" t="str">
        <x:v>Desktop browser via Codex</x:v>
      </x:c>
      <x:c r="F9" s="48" t="str">
        <x:v>Windows host</x:v>
      </x:c>
      <x:c r="G9" s="48" t="str">
        <x:v>Codex In-app Browser (Chromium)</x:v>
      </x:c>
      <x:c r="H9" s="48" t="str">
        <x:v>Not measured</x:v>
      </x:c>
      <x:c r="I9" s="48" t="str">
        <x:v>Not measured</x:v>
      </x:c>
      <x:c r="J9" s="48" t="str">
        <x:v>Default</x:v>
      </x:c>
      <x:c r="K9" s="48" t="str">
        <x:v>Mouse + keyboard</x:v>
      </x:c>
      <x:c r="L9" s="48" t="str">
        <x:v>Codex QA</x:v>
      </x:c>
      <x:c r="M9" s="58" t="n">
        <x:v>46301</x:v>
      </x:c>
      <x:c r="N9" s="48" t="str">
        <x:v>Codex browser session</x:v>
      </x:c>
      <x:c r="O9" s="48" t="str">
        <x:v>Direct route/content checks; see QA_Evidence/notes/browser-observations.md. No physical-device claim.</x:v>
      </x:c>
    </x:row>
    <x:row r="10" ht="58" customHeight="1">
      <x:c r="A10" s="48" t="str">
        <x:v>S02</x:v>
      </x:c>
      <x:c r="B10" s="48" t="str">
        <x:v>LOCAL DEV</x:v>
      </x:c>
      <x:c r="C10" s="48" t="str">
        <x:v>http://127.0.0.1:5178/</x:v>
      </x:c>
      <x:c r="D10" s="48" t="str">
        <x:v>42e8b2007980756a21d17f0e5c0bbd9c8d13d325</x:v>
      </x:c>
      <x:c r="E10" s="48" t="str">
        <x:v>Desktop browser via Codex</x:v>
      </x:c>
      <x:c r="F10" s="48" t="str">
        <x:v>Windows host</x:v>
      </x:c>
      <x:c r="G10" s="48" t="str">
        <x:v>Codex In-app Browser (Chromium)</x:v>
      </x:c>
      <x:c r="H10" s="48" t="str">
        <x:v>Not measured</x:v>
      </x:c>
      <x:c r="I10" s="48" t="str">
        <x:v>Not measured</x:v>
      </x:c>
      <x:c r="J10" s="48" t="str">
        <x:v>Default</x:v>
      </x:c>
      <x:c r="K10" s="48" t="str">
        <x:v>Mouse + keyboard</x:v>
      </x:c>
      <x:c r="L10" s="48" t="str">
        <x:v>Codex QA</x:v>
      </x:c>
      <x:c r="M10" s="58" t="n">
        <x:v>46301</x:v>
      </x:c>
      <x:c r="N10" s="48" t="str">
        <x:v>Codex browser session</x:v>
      </x:c>
      <x:c r="O10" s="48" t="str">
        <x:v>User-launched DEV site. MAKE ELIGIBLE changed eligibility only. Orbit Ctrl+Shift+D opened Orbit DEV. Reactor Ctrl+Shift+D did not open game panel; host diagnostics showed renderer disconnected/not ready. See browser-observations.md.</x:v>
      </x:c>
    </x:row>
    <x:row r="11" ht="58" customHeight="1">
      <x:c r="A11" s="48" t="str">
        <x:v>S03</x:v>
      </x:c>
      <x:c r="B11" s="48" t="str">
        <x:v>LOCAL PROD</x:v>
      </x:c>
      <x:c r="C11" s="48" t="str">
        <x:v>http://127.0.0.1:4173/</x:v>
      </x:c>
      <x:c r="D11" s="48" t="str">
        <x:v>42e8b2007980756a21d17f0e5c0bbd9c8d13d325</x:v>
      </x:c>
      <x:c r="E11" s="48" t="str">
        <x:v>Desktop browser via Codex</x:v>
      </x:c>
      <x:c r="F11" s="48" t="str">
        <x:v>Windows host</x:v>
      </x:c>
      <x:c r="G11" s="48" t="str">
        <x:v>Codex In-app Browser (Chromium)</x:v>
      </x:c>
      <x:c r="H11" s="48" t="str">
        <x:v>Not measured</x:v>
      </x:c>
      <x:c r="I11" s="48" t="str">
        <x:v>Not measured</x:v>
      </x:c>
      <x:c r="J11" s="48" t="str">
        <x:v>Default</x:v>
      </x:c>
      <x:c r="K11" s="48" t="str">
        <x:v>Mouse + keyboard</x:v>
      </x:c>
      <x:c r="L11" s="48" t="str">
        <x:v>Codex QA</x:v>
      </x:c>
      <x:c r="M11" s="58" t="n">
        <x:v>46301</x:v>
      </x:c>
      <x:c r="N11" s="48" t="str">
        <x:v>Codex browser session</x:v>
      </x:c>
      <x:c r="O11" s="48" t="str">
        <x:v>Production preview. Core route/game smoke only; detailed interactions and viewport matrix remain.</x:v>
      </x:c>
    </x:row>
    <x:row r="12" ht="58" customHeight="1">
      <x:c r="A12" s="48" t="str">
        <x:v>S04</x:v>
      </x:c>
      <x:c r="B12" s="48" t="str">
        <x:v>LOCAL DEV</x:v>
      </x:c>
      <x:c r="C12" s="48" t="str">
        <x:v>http://localhost:5178/</x:v>
      </x:c>
      <x:c r="D12" s="48" t="str">
        <x:v>42e8b2007980756a21d17f0e5c0bbd9c8d13d325</x:v>
      </x:c>
      <x:c r="E12" s="48" t="str">
        <x:v>Desktop browser via Codex</x:v>
      </x:c>
      <x:c r="F12" s="48" t="str">
        <x:v>Windows host</x:v>
      </x:c>
      <x:c r="G12" s="48" t="str">
        <x:v>Codex In-app Browser (Chromium)</x:v>
      </x:c>
      <x:c r="H12" s="48" t="str">
        <x:v>Not measured</x:v>
      </x:c>
      <x:c r="I12" s="48" t="str">
        <x:v>Not measured</x:v>
      </x:c>
      <x:c r="J12" s="48" t="str">
        <x:v>Fresh localhost storage origin</x:v>
      </x:c>
      <x:c r="K12" s="48" t="str">
        <x:v>Mouse + keyboard</x:v>
      </x:c>
      <x:c r="L12" s="48" t="str">
        <x:v>Codex QA</x:v>
      </x:c>
      <x:c r="M12" s="58" t="n">
        <x:v>46301</x:v>
      </x:c>
      <x:c r="N12" s="48" t="str">
        <x:v>Codex browser session</x:v>
      </x:c>
      <x:c r="O12" s="48" t="str">
        <x:v>Disposable isolated origin used for Orbit functional testing; browser-local best/score records and quest configuration were created then quest toggles/weights were restored. Best score reached 99. Separate from 127.0.0.1 profile.</x:v>
      </x:c>
    </x:row>
    <x:row r="13" ht="58" customHeight="1">
      <x:c r="A13" s="48" t="str">
        <x:v>V2-DEV</x:v>
      </x:c>
      <x:c r="B13" s="48" t="str">
        <x:v>LOCAL DEV</x:v>
      </x:c>
      <x:c r="C13" s="48" t="str">
        <x:v>http://127.0.0.1:5191</x:v>
      </x:c>
      <x:c r="D13" s="48" t="str">
        <x:v>42e8b2007980756a21d17f0e5c0bbd9c8d13d325</x:v>
      </x:c>
      <x:c r="E13" s="48" t="str">
        <x:v>PC2</x:v>
      </x:c>
      <x:c r="F13" s="48" t="str">
        <x:v>Windows</x:v>
      </x:c>
      <x:c r="G13" s="48" t="str">
        <x:v>Codex in-app Chromium</x:v>
      </x:c>
      <x:c r="H13" s="48" t="str">
        <x:v>337x780 then1280x720</x:v>
      </x:c>
      <x:c r="I13" s="48" t="str">
        <x:v>Varies; in evidence</x:v>
      </x:c>
      <x:c r="J13" s="48" t="str">
        <x:v>DPR1</x:v>
      </x:c>
      <x:c r="K13" s="48" t="str">
        <x:v>Mouse + keyboard</x:v>
      </x:c>
      <x:c r="L13" s="48" t="str">
        <x:v>Codex QA</x:v>
      </x:c>
      <x:c r="M13" s="58" t="str">
        <x:v>2026-10-06</x:v>
      </x:c>
      <x:c r="N13" s="48" t="str">
        <x:v>Fresh port origin</x:v>
      </x:c>
      <x:c r="O13" s="48" t="str">
        <x:v>Owned strict-port Vite; server restarted after execution environment interruption; no personal-origin save reset</x:v>
      </x:c>
    </x:row>
    <x:row r="14" ht="58" customHeight="1">
      <x:c r="A14" s="48" t="str">
        <x:v>V2-PROD</x:v>
      </x:c>
      <x:c r="B14" s="48" t="str">
        <x:v>LOCAL PROD</x:v>
      </x:c>
      <x:c r="C14" s="48" t="str">
        <x:v>http://127.0.0.1:5192</x:v>
      </x:c>
      <x:c r="D14" s="48" t="str">
        <x:v>42e8b2007980756a21d17f0e5c0bbd9c8d13d325</x:v>
      </x:c>
      <x:c r="E14" s="48" t="str">
        <x:v>PC2</x:v>
      </x:c>
      <x:c r="F14" s="48" t="str">
        <x:v>Windows</x:v>
      </x:c>
      <x:c r="G14" s="48" t="str">
        <x:v>Codex in-app Chromium</x:v>
      </x:c>
      <x:c r="H14" s="48" t="str"/>
      <x:c r="I14" s="48" t="str"/>
      <x:c r="J14" s="48" t="str">
        <x:v>DPR1</x:v>
      </x:c>
      <x:c r="K14" s="48" t="str">
        <x:v>Mouse + keyboard</x:v>
      </x:c>
      <x:c r="L14" s="48" t="str">
        <x:v>Codex QA</x:v>
      </x:c>
      <x:c r="M14" s="58" t="str">
        <x:v>2026-10-06</x:v>
      </x:c>
      <x:c r="N14" s="48" t="str">
        <x:v>Fresh port origin</x:v>
      </x:c>
      <x:c r="O14" s="48" t="str">
        <x:v>Owned strict-port preview; five routes and both Null games tested; fullscreen action enters/exits and preserves game state; native fullscreen property is inconclusive through scoped DOM inspection</x:v>
      </x:c>
    </x:row>
    <x:row r="15" ht="58" customHeight="1">
      <x:c r="A15" s="48" t="str">
        <x:v>V2-LIVE</x:v>
      </x:c>
      <x:c r="B15" s="48" t="str">
        <x:v>LIVE</x:v>
      </x:c>
      <x:c r="C15" s="48" t="str">
        <x:v>https://odesosgames.com/</x:v>
      </x:c>
      <x:c r="D15" s="48" t="str">
        <x:v>42e8b2007980756a21d17f0e5c0bbd9c8d13d325</x:v>
      </x:c>
      <x:c r="E15" s="48" t="str">
        <x:v>PC2</x:v>
      </x:c>
      <x:c r="F15" s="48" t="str">
        <x:v>Windows</x:v>
      </x:c>
      <x:c r="G15" s="48" t="str">
        <x:v>Codex in-app Chromium</x:v>
      </x:c>
      <x:c r="H15" s="48" t="str">
        <x:v>Varies; actual dimensions in V2 matrices</x:v>
      </x:c>
      <x:c r="I15" s="48" t="str">
        <x:v>Varies; recorded in V2 evidence</x:v>
      </x:c>
      <x:c r="J15" s="48" t="str"/>
      <x:c r="K15" s="48" t="str">
        <x:v>Mouse + keyboard</x:v>
      </x:c>
      <x:c r="L15" s="48" t="str">
        <x:v>Codex QA</x:v>
      </x:c>
      <x:c r="M15" s="58" t="str">
        <x:v>2026-10-06</x:v>
      </x:c>
      <x:c r="N15" s="48" t="str">
        <x:v>V2 QA browser context</x:v>
      </x:c>
      <x:c r="O15" s="48" t="str">
        <x:v>Historical session definition added from actual V2 deployment/LIVE/viewport evidence; no new execution claim.</x:v>
      </x:c>
    </x:row>
    <x:row r="16" ht="58" customHeight="1">
      <x:c r="A16" s="48" t="str">
        <x:v>V2-TERM</x:v>
      </x:c>
      <x:c r="B16" s="48" t="str">
        <x:v>LOCAL / TERMINAL</x:v>
      </x:c>
      <x:c r="C16" s="48" t="str">
        <x:v>C:/Users/mlgjm/OneDrive/Desktop/GameWebsite</x:v>
      </x:c>
      <x:c r="D16" s="48" t="str">
        <x:v>42e8b2007980756a21d17f0e5c0bbd9c8d13d325</x:v>
      </x:c>
      <x:c r="E16" s="48" t="str">
        <x:v>PC2</x:v>
      </x:c>
      <x:c r="F16" s="48" t="str">
        <x:v>Windows</x:v>
      </x:c>
      <x:c r="G16" s="48" t="str">
        <x:v>N/A - terminal</x:v>
      </x:c>
      <x:c r="H16" s="48" t="str"/>
      <x:c r="I16" s="48" t="str"/>
      <x:c r="J16" s="48" t="str"/>
      <x:c r="K16" s="48" t="str"/>
      <x:c r="L16" s="48" t="str">
        <x:v>Codex QA</x:v>
      </x:c>
      <x:c r="M16" s="58" t="str">
        <x:v>2026-10-06</x:v>
      </x:c>
      <x:c r="N16" s="48" t="str">
        <x:v>Bundled Node24.21.0 / npm11.19.0</x:v>
      </x:c>
      <x:c r="O16" s="48" t="str">
        <x:v>Historical V2 automated baseline: check,201 tests,build,production/page verifier; logs remain at original V2 paths. Browser/input method not applicable; dropdown left blank.</x:v>
      </x:c>
    </x:row>
    <x:row r="17" ht="58" customHeight="1">
      <x:c r="A17" s="48" t="str">
        <x:v>V2-ORB-STANDALONE</x:v>
      </x:c>
      <x:c r="B17" s="48" t="str">
        <x:v>LOCAL DEV</x:v>
      </x:c>
      <x:c r="C17" s="48" t="str">
        <x:v>http://127.0.0.1:5193/</x:v>
      </x:c>
      <x:c r="D17" s="48" t="str">
        <x:v>42e8b2007980756a21d17f0e5c0bbd9c8d13d325</x:v>
      </x:c>
      <x:c r="E17" s="48" t="str">
        <x:v>PC2</x:v>
      </x:c>
      <x:c r="F17" s="48" t="str">
        <x:v>Windows</x:v>
      </x:c>
      <x:c r="G17" s="48" t="str">
        <x:v>Codex in-app Chromium</x:v>
      </x:c>
      <x:c r="H17" s="48" t="str"/>
      <x:c r="I17" s="48" t="str"/>
      <x:c r="J17" s="48" t="str"/>
      <x:c r="K17" s="48" t="str">
        <x:v>Mouse + keyboard</x:v>
      </x:c>
      <x:c r="L17" s="48" t="str">
        <x:v>Codex QA</x:v>
      </x:c>
      <x:c r="M17" s="58" t="str">
        <x:v>2026-10-06</x:v>
      </x:c>
      <x:c r="N17" s="48" t="str">
        <x:v>Isolated standalone QA origin</x:v>
      </x:c>
      <x:c r="O17" s="48" t="str">
        <x:v>Historical Orbit standalone DEV execution; only exact case scope supported by V2 observation.</x:v>
      </x:c>
    </x:row>
    <x:row r="18" ht="58" customHeight="1">
      <x:c r="A18" s="48" t="str">
        <x:v>V2-REA-STANDALONE</x:v>
      </x:c>
      <x:c r="B18" s="48" t="str">
        <x:v>LOCAL DEV</x:v>
      </x:c>
      <x:c r="C18" s="48" t="str">
        <x:v>http://127.0.0.1:5194/</x:v>
      </x:c>
      <x:c r="D18" s="48" t="str">
        <x:v>42e8b2007980756a21d17f0e5c0bbd9c8d13d325</x:v>
      </x:c>
      <x:c r="E18" s="48" t="str">
        <x:v>PC2</x:v>
      </x:c>
      <x:c r="F18" s="48" t="str">
        <x:v>Windows</x:v>
      </x:c>
      <x:c r="G18" s="48" t="str">
        <x:v>Codex in-app Chromium</x:v>
      </x:c>
      <x:c r="H18" s="48" t="str"/>
      <x:c r="I18" s="48" t="str"/>
      <x:c r="J18" s="48" t="str"/>
      <x:c r="K18" s="48" t="str">
        <x:v>Mouse + keyboard</x:v>
      </x:c>
      <x:c r="L18" s="48" t="str">
        <x:v>Codex QA</x:v>
      </x:c>
      <x:c r="M18" s="58" t="str">
        <x:v>2026-10-06</x:v>
      </x:c>
      <x:c r="N18" s="48" t="str">
        <x:v>Isolated standalone QA origin</x:v>
      </x:c>
      <x:c r="O18" s="48" t="str">
        <x:v>Historical Reactor standalone DEV execution; only exact case scope supported by V2 observation.</x:v>
      </x:c>
    </x:row>
    <x:row r="19" ht="58" customHeight="1">
      <x:c r="A19" s="48" t="str">
        <x:v>V3-LIVE</x:v>
      </x:c>
      <x:c r="B19" s="48" t="str">
        <x:v>LIVE</x:v>
      </x:c>
      <x:c r="C19" s="48" t="str">
        <x:v>https://odesosgames.com/</x:v>
      </x:c>
      <x:c r="D19" s="48" t="str">
        <x:v>42e8b2007980756a21d17f0e5c0bbd9c8d13d325</x:v>
      </x:c>
      <x:c r="E19" s="48" t="str">
        <x:v>PC2</x:v>
      </x:c>
      <x:c r="F19" s="48" t="str">
        <x:v>Windows</x:v>
      </x:c>
      <x:c r="G19" s="48" t="str">
        <x:v>Codex in-app Chromium</x:v>
      </x:c>
      <x:c r="H19" s="48" t="str">
        <x:v>491x611 embedded;1920x1080 native fullscreen</x:v>
      </x:c>
      <x:c r="I19" s="48" t="str">
        <x:v>Varies; visible in V3 screenshots</x:v>
      </x:c>
      <x:c r="J19" s="48" t="str"/>
      <x:c r="K19" s="48" t="str">
        <x:v>Mouse + keyboard</x:v>
      </x:c>
      <x:c r="L19" s="48" t="str">
        <x:v>Codex QA</x:v>
      </x:c>
      <x:c r="M19" s="58" t="str">
        <x:v>2026-10-06</x:v>
      </x:c>
      <x:c r="N19" s="48" t="str">
        <x:v>Fresh V3 QA tab</x:v>
      </x:c>
      <x:c r="O19" s="48" t="str">
        <x:v>New V3 browser observations in QA_Evidence/browser-observations.json; intended deployed SHA from retained V2 deployment evidence, not fresh cache-disabled deployment verification.</x:v>
      </x:c>
    </x:row>
    <x:row r="20" ht="58" customHeight="1">
      <x:c r="A20" s="48" t="str">
        <x:v>V2-HTTP</x:v>
      </x:c>
      <x:c r="B20" s="48" t="str">
        <x:v>LIVE</x:v>
      </x:c>
      <x:c r="C20" s="48" t="str">
        <x:v>https://odesosgames.com/</x:v>
      </x:c>
      <x:c r="D20" s="48" t="str">
        <x:v>42e8b2007980756a21d17f0e5c0bbd9c8d13d325</x:v>
      </x:c>
      <x:c r="E20" s="48" t="str">
        <x:v>PC2</x:v>
      </x:c>
      <x:c r="F20" s="48" t="str">
        <x:v>Windows</x:v>
      </x:c>
      <x:c r="G20" s="48" t="str">
        <x:v>N/A - HTTP/source/image inspection</x:v>
      </x:c>
      <x:c r="H20" s="48" t="str"/>
      <x:c r="I20" s="48" t="str"/>
      <x:c r="J20" s="48" t="str"/>
      <x:c r="K20" s="48" t="str"/>
      <x:c r="L20" s="48" t="str">
        <x:v>Codex QA</x:v>
      </x:c>
      <x:c r="M20" s="58" t="str">
        <x:v>2026-10-06</x:v>
      </x:c>
      <x:c r="N20" s="48" t="str">
        <x:v>Historical V2 request evidence</x:v>
      </x:c>
      <x:c r="O20" s="48" t="str">
        <x:v>Historical V2 HTTP/status/static-document checks; browser proof remains separate where case cites mixed evidence. Browser input method not applicable.</x:v>
      </x:c>
    </x:row>
    <x:row r="21" ht="58" customHeight="1">
      <x:c r="A21" s="48" t="str">
        <x:v>V1-TERM</x:v>
      </x:c>
      <x:c r="B21" s="48" t="str">
        <x:v>LOCAL / TERMINAL</x:v>
      </x:c>
      <x:c r="C21" s="48" t="str">
        <x:v>C:/Users/mlgjm/OneDrive/Desktop/GameWebsite</x:v>
      </x:c>
      <x:c r="D21" s="48" t="str">
        <x:v>42e8b2007980756a21d17f0e5c0bbd9c8d13d325</x:v>
      </x:c>
      <x:c r="E21" s="48" t="str"/>
      <x:c r="F21" s="48" t="str">
        <x:v>Windows</x:v>
      </x:c>
      <x:c r="G21" s="48" t="str">
        <x:v>N/A - terminal</x:v>
      </x:c>
      <x:c r="H21" s="48" t="str"/>
      <x:c r="I21" s="48" t="str"/>
      <x:c r="J21" s="48" t="str"/>
      <x:c r="K21" s="48" t="str"/>
      <x:c r="L21" s="48" t="str">
        <x:v>Codex QA</x:v>
      </x:c>
      <x:c r="M21" s="58" t="str">
        <x:v>2026-10-06</x:v>
      </x:c>
      <x:c r="N21" s="48" t="str"/>
      <x:c r="O21" s="48" t="str">
        <x:v>Historical terminal definition for retained SYS-003/SYS-005; explicit original observations record Node24.21.0/npm11.19.0/install/source review. No V2/V3 rerun claimed. Unrecorded fields blank. Unused placeholder replaced; no executed session removed.</x:v>
      </x:c>
    </x:row>
    <x:row r="22" ht="58" customHeight="1">
      <x:c r="A22" s="48" t="str">
        <x:v>S14</x:v>
      </x:c>
      <x:c r="B22" s="48" t="str">
        <x:v>LOCAL DEV</x:v>
      </x:c>
      <x:c r="C22" s="48" t="str">
        <x:v>http://127.0.0.1:5191/games/reactor-stack/?qa=daf0c2be-06b8-4687-9b37-f51e35e4ff08</x:v>
      </x:c>
      <x:c r="D22" s="48" t="str">
        <x:v>7571df5c5990ba1e7bd55706b8aa16ebc994da8f</x:v>
      </x:c>
      <x:c r="E22" s="48" t="str">
        <x:v>PC2 desktop browser</x:v>
      </x:c>
      <x:c r="F22" s="48" t="str">
        <x:v>Windows host (version not recorded)</x:v>
      </x:c>
      <x:c r="G22" s="48" t="str">
        <x:v>Codex In-app Browser (Chromium; version not exposed)</x:v>
      </x:c>
      <x:c r="H22" s="48" t="str">
        <x:v>Default 1280x720; emulated 320x800, 360x640, 640x360, 844x390, 932x430</x:v>
      </x:c>
      <x:c r="I22" s="48" t="str">
        <x:v>Varied by case; responsive measurements and screenshots in QA_Evidence</x:v>
      </x:c>
      <x:c r="J22" s="48" t="str">
        <x:v>Default zoom / DPR 1 where measured</x:v>
      </x:c>
      <x:c r="K22" s="48" t="str">
        <x:v>DOM Playwright controls; screenshot inspection; viewport emulation, not physical device</x:v>
      </x:c>
      <x:c r="L22" s="48" t="str">
        <x:v>Codex QA</x:v>
      </x:c>
      <x:c r="M22" s="58" t="n">
        <x:v>46301</x:v>
      </x:c>
      <x:c r="N22" s="48" t="str">
        <x:v>New app tab / launcher-scoped QA storage</x:v>
      </x:c>
      <x:c r="O22" s="48" t="str">
        <x:v>Exact qa:dev URL/UUID; host and game revision matched; connected mock renderer confirmed; only QA namespace changed.</x:v>
      </x:c>
    </x:row>
    <x:row r="23" ht="58" customHeight="1">
      <x:c r="A23" s="48" t="str">
        <x:v>S15</x:v>
      </x:c>
      <x:c r="B23" s="48" t="str">
        <x:v>LOCAL PROD</x:v>
      </x:c>
      <x:c r="C23" s="48" t="str">
        <x:v>http://127.0.0.1:5192/games/reactor-stack/?qa=1</x:v>
      </x:c>
      <x:c r="D23" s="48" t="str">
        <x:v>7571df5c5990ba1e7bd55706b8aa16ebc994da8f</x:v>
      </x:c>
      <x:c r="E23" s="48" t="str">
        <x:v>PC2 desktop browser</x:v>
      </x:c>
      <x:c r="F23" s="48" t="str">
        <x:v>Windows host (version not recorded)</x:v>
      </x:c>
      <x:c r="G23" s="48" t="str">
        <x:v>Codex In-app Browser (Chromium; version not exposed)</x:v>
      </x:c>
      <x:c r="H23" s="48" t="str">
        <x:v>Emulated 320x800, 360x640, 640x360, 844x390, 932x430</x:v>
      </x:c>
      <x:c r="I23" s="48" t="str">
        <x:v>Varied by case; responsive measurements and screenshots in QA_Evidence</x:v>
      </x:c>
      <x:c r="J23" s="48" t="str">
        <x:v>Default zoom / DPR 1 where measured</x:v>
      </x:c>
      <x:c r="K23" s="48" t="str">
        <x:v>DOM Playwright controls; screenshot inspection; viewport emulation, not physical device</x:v>
      </x:c>
      <x:c r="L23" s="48" t="str">
        <x:v>Codex QA</x:v>
      </x:c>
      <x:c r="M23" s="58" t="n">
        <x:v>46301</x:v>
      </x:c>
      <x:c r="N23" s="48" t="str">
        <x:v>New in-app browser tab; preview-origin profile not certified disposable</x:v>
      </x:c>
      <x:c r="O23" s="48" t="str">
        <x:v>Production build from qa:preview; build ID c1dcdd0a-0cc1-4067-83e0-5504419bbb52. ?qa=1 showed no DEV/QA panel.</x:v>
      </x:c>
    </x:row>
    <x:row r="24" ht="58" customHeight="1">
      <x:c r="A24" s="48" t="str">
        <x:v>S16</x:v>
      </x:c>
      <x:c r="B24" s="48" t="str">
        <x:v>LIVE</x:v>
      </x:c>
      <x:c r="C24" s="48" t="str">
        <x:v>https://odesosgames.com/games/reactor-stack/</x:v>
      </x:c>
      <x:c r="D24" s="48" t="str">
        <x:v>7571df5c5990ba1e7bd55706b8aa16ebc994da8f</x:v>
      </x:c>
      <x:c r="E24" s="48" t="str">
        <x:v>PC2 desktop browser</x:v>
      </x:c>
      <x:c r="F24" s="48" t="str">
        <x:v>Windows host (version not recorded)</x:v>
      </x:c>
      <x:c r="G24" s="48" t="str">
        <x:v>Codex In-app Browser (Chromium; version not exposed)</x:v>
      </x:c>
      <x:c r="H24" s="48" t="str">
        <x:v>Not measured</x:v>
      </x:c>
      <x:c r="I24" s="48" t="str">
        <x:v>Not measured</x:v>
      </x:c>
      <x:c r="J24" s="48" t="str">
        <x:v>Default (exact zoom/DPR not recorded)</x:v>
      </x:c>
      <x:c r="K24" s="48" t="str">
        <x:v>DOM Playwright observation only; no profile mutation</x:v>
      </x:c>
      <x:c r="L24" s="48" t="str">
        <x:v>Codex QA</x:v>
      </x:c>
      <x:c r="M24" s="58" t="n">
        <x:v>46301</x:v>
      </x:c>
      <x:c r="N24" s="48" t="str">
        <x:v>Existing app in-app browser tab; no destructive tests</x:v>
      </x:c>
      <x:c r="O24" s="48" t="str">
        <x:v>Single direct live read; deployed meta reported production, dirty=false, exact merge revision; browser cache not disabled; no repeated poll.</x:v>
      </x:c>
    </x:row>
    <x:row r="25" ht="58" customHeight="1">
      <x:c r="A25" s="48" t="str">
        <x:v>S17</x:v>
      </x:c>
      <x:c r="B25" s="48" t="str">
        <x:v>LIVE</x:v>
      </x:c>
      <x:c r="C25" s="48" t="str">
        <x:v>https://odesosgames.com</x:v>
      </x:c>
      <x:c r="D25" s="48" t="str">
        <x:v>7571df5c5990ba1e7bd55706b8aa16ebc994da8f</x:v>
      </x:c>
      <x:c r="E25" s="48" t="str">
        <x:v>User Windows desktop</x:v>
      </x:c>
      <x:c r="F25" s="48" t="str">
        <x:v>Windows; precise version not exposed</x:v>
      </x:c>
      <x:c r="G25" s="48" t="str">
        <x:v>Codex in-app Chromium; exact browser version not exposed</x:v>
      </x:c>
      <x:c r="H25" s="48" t="str">
        <x:v>13 requested sizes, see matrix JSON</x:v>
      </x:c>
      <x:c r="I25" s="48" t="str">
        <x:v>See per-observation allocations</x:v>
      </x:c>
      <x:c r="J25" s="48" t="str">
        <x:v>DPR1; viewport override</x:v>
      </x:c>
      <x:c r="K25" s="48" t="str">
        <x:v>DOM keyboard/mouse; no physical touch</x:v>
      </x:c>
      <x:c r="L25" s="48" t="str">
        <x:v>Codex Final AI QA</x:v>
      </x:c>
      <x:c r="M25" s="58" t="n">
        <x:v>46301.8803125</x:v>
      </x:c>
      <x:c r="N25" s="48" t="str">
        <x:v>Existing IAB; no clean-profile certification</x:v>
      </x:c>
      <x:c r="O25" s="48" t="str">
        <x:v>Fresh browser identity verified; LIVE build 5e857a08-c416-423c-9dd2-ba0a6b18abca. Scope limitations retained.</x:v>
      </x:c>
    </x:row>
    <x:row r="26" ht="58" customHeight="1">
      <x:c r="A26" s="48" t="str">
        <x:v>S18</x:v>
      </x:c>
      <x:c r="B26" s="48" t="str">
        <x:v>LOCAL DEV</x:v>
      </x:c>
      <x:c r="C26" s="48" t="str">
        <x:v>http://127.0.0.1:5191/games/reactor-stack/?qa=2cfa155b-b6d5-4e2b-8c79-3568d80478a0</x:v>
      </x:c>
      <x:c r="D26" s="48" t="str">
        <x:v>7571df5c5990ba1e7bd55706b8aa16ebc994da8f</x:v>
      </x:c>
      <x:c r="E26" s="48" t="str">
        <x:v>User Windows desktop</x:v>
      </x:c>
      <x:c r="F26" s="48" t="str">
        <x:v>Windows; precise version not exposed</x:v>
      </x:c>
      <x:c r="G26" s="48" t="str">
        <x:v>Codex in-app Chromium; exact browser version not exposed</x:v>
      </x:c>
      <x:c r="H26" s="48" t="str">
        <x:v>13 requested sizes; see matrix JSON</x:v>
      </x:c>
      <x:c r="I26" s="48" t="str">
        <x:v>Actual game iframe allocations captured</x:v>
      </x:c>
      <x:c r="J26" s="48" t="str">
        <x:v>DPR1; viewport override</x:v>
      </x:c>
      <x:c r="K26" s="48" t="str">
        <x:v>DOM keyboard/mouse; no positioned board/touch</x:v>
      </x:c>
      <x:c r="L26" s="48" t="str">
        <x:v>Codex Final AI QA</x:v>
      </x:c>
      <x:c r="M26" s="58" t="n">
        <x:v>46301.8803125</x:v>
      </x:c>
      <x:c r="N26" s="48" t="str">
        <x:v>Disposable QA namespace 2cfa155b-b6d5-4e2b-8c79-3568d80478a0</x:v>
      </x:c>
      <x:c r="O26" s="48" t="str">
        <x:v>New qa:dev process9816; build 92364b02-f085-4a5c-893c-bb5b17b39739; exact launcher URL; connected mock renderer. Only scoped QA saves reset.</x:v>
      </x:c>
    </x:row>
    <x:row r="27" ht="58" customHeight="1">
      <x:c r="A27" s="48" t="str">
        <x:v>S19</x:v>
      </x:c>
      <x:c r="B27" s="48" t="str">
        <x:v>LOCAL PROD</x:v>
      </x:c>
      <x:c r="C27" s="48" t="str">
        <x:v>http://127.0.0.1:5192/games/reactor-stack/</x:v>
      </x:c>
      <x:c r="D27" s="48" t="str">
        <x:v>7571df5c5990ba1e7bd55706b8aa16ebc994da8f</x:v>
      </x:c>
      <x:c r="E27" s="48" t="str">
        <x:v>User Windows desktop</x:v>
      </x:c>
      <x:c r="F27" s="48" t="str">
        <x:v>Windows; precise version not exposed</x:v>
      </x:c>
      <x:c r="G27" s="48" t="str">
        <x:v>Codex in-app Chromium; exact browser version not exposed</x:v>
      </x:c>
      <x:c r="H27" s="48" t="str">
        <x:v>Initially1280×720; then1366×768</x:v>
      </x:c>
      <x:c r="I27" s="48" t="str">
        <x:v>Actual allocations in evidence</x:v>
      </x:c>
      <x:c r="J27" s="48" t="str">
        <x:v>DPR1</x:v>
      </x:c>
      <x:c r="K27" s="48" t="str">
        <x:v>DOM keyboard/mouse</x:v>
      </x:c>
      <x:c r="L27" s="48" t="str">
        <x:v>Codex Final AI QA</x:v>
      </x:c>
      <x:c r="M27" s="58" t="n">
        <x:v>46301.8803125</x:v>
      </x:c>
      <x:c r="N27" s="48" t="str">
        <x:v>Existing preview origin; not certified disposable</x:v>
      </x:c>
      <x:c r="O27" s="48" t="str">
        <x:v>New qa:preview94047; build f515d962-5316-4c1f-8eb3-bf111671c988; production ads guard34artifacts passed. Mute restored; isolated-profile gap retained.</x:v>
      </x:c>
    </x:row>
    <x:row r="28" ht="58" customHeight="1">
      <x:c r="A28" s="48" t="str">
        <x:v>S20</x:v>
      </x:c>
      <x:c r="B28" s="48" t="str"/>
      <x:c r="C28" s="48" t="str"/>
      <x:c r="D28" s="48" t="str"/>
      <x:c r="E28" s="48" t="str"/>
      <x:c r="F28" s="48" t="str"/>
      <x:c r="G28" s="48" t="str"/>
      <x:c r="H28" s="48" t="str"/>
      <x:c r="I28" s="48" t="str"/>
      <x:c r="J28" s="48" t="str"/>
      <x:c r="K28" s="48" t="str"/>
      <x:c r="L28" s="48" t="str"/>
      <x:c r="M28" s="58"/>
      <x:c r="N28" s="48" t="str"/>
      <x:c r="O28" s="48" t="str"/>
    </x:row>
    <x:row r="29" ht="58" customHeight="1">
      <x:c r="A29" s="48" t="str">
        <x:v>S20</x:v>
      </x:c>
      <x:c r="B29" s="48" t="str">
        <x:v>LIVE / LOCAL DEV / LOCAL PROD</x:v>
      </x:c>
      <x:c r="C29" s="48" t="str">
        <x:v>https://odesosgames.com/ + qa:dev / qa:preview</x:v>
      </x:c>
      <x:c r="D29" s="48" t="str">
        <x:v>7571df5c5990ba1e7bd55706b8aa16ebc994da8f</x:v>
      </x:c>
      <x:c r="E29" s="48" t="str">
        <x:v>Hristo Windows desktop</x:v>
      </x:c>
      <x:c r="F29" s="48" t="str">
        <x:v>Windows (exact version not supplied)</x:v>
      </x:c>
      <x:c r="G29" s="48" t="str">
        <x:v>Desktop Chromium browser (exact version not supplied)</x:v>
      </x:c>
      <x:c r="H29" s="48" t="str">
        <x:v>Desktop + responsive/zoom/fullscreen journey</x:v>
      </x:c>
      <x:c r="I29" s="48" t="str">
        <x:v>Varied by journey</x:v>
      </x:c>
      <x:c r="J29" s="48" t="str">
        <x:v>100% baseline; 200% zoom check completed</x:v>
      </x:c>
      <x:c r="K29" s="48" t="str">
        <x:v>Mouse + keyboard</x:v>
      </x:c>
      <x:c r="L29" s="48" t="str">
        <x:v>Hristo</x:v>
      </x:c>
      <x:c r="M29" s="58" t="n">
        <x:v>46302</x:v>
      </x:c>
      <x:c r="N29" s="48" t="str">
        <x:v>Human QA / disposable profiles where destructive</x:v>
      </x:c>
      <x:c r="O29" s="48" t="str">
        <x:v>Final Human QA continuation completed. All previously human-owned cases were resolved to Pass/Fail/N/A. Audio-specific cases and iPhone/iPad were explicitly approved N/A. Human defects recorded as HQA-001..005.</x:v>
      </x:c>
    </x:row>
    <x:row r="30" ht="58" customHeight="1">
      <x:c r="A30" s="48" t="str">
        <x:v>S21</x:v>
      </x:c>
      <x:c r="B30" s="48" t="str">
        <x:v>LIVE / LOCAL DEV</x:v>
      </x:c>
      <x:c r="C30" s="48" t="str">
        <x:v>https://odesosgames.com/ + trusted-LAN DEV where applicable</x:v>
      </x:c>
      <x:c r="D30" s="48" t="str">
        <x:v>7571df5c5990ba1e7bd55706b8aa16ebc994da8f</x:v>
      </x:c>
      <x:c r="E30" s="48" t="str">
        <x:v>Physical Android phone (model not supplied)</x:v>
      </x:c>
      <x:c r="F30" s="48" t="str">
        <x:v>Android (version not supplied)</x:v>
      </x:c>
      <x:c r="G30" s="48" t="str">
        <x:v>Chrome mobile (version not supplied)</x:v>
      </x:c>
      <x:c r="H30" s="48" t="str">
        <x:v>Portrait + landscape</x:v>
      </x:c>
      <x:c r="I30" s="48" t="str">
        <x:v>Physical mobile allocation; screenshots supplied in chat</x:v>
      </x:c>
      <x:c r="J30" s="48" t="str">
        <x:v>Device default</x:v>
      </x:c>
      <x:c r="K30" s="48" t="str">
        <x:v>Real touch / tap / drag</x:v>
      </x:c>
      <x:c r="L30" s="48" t="str">
        <x:v>Hristo</x:v>
      </x:c>
      <x:c r="M30" s="58" t="n">
        <x:v>46302</x:v>
      </x:c>
      <x:c r="N30" s="48" t="str">
        <x:v>Physical Android browser</x:v>
      </x:c>
      <x:c r="O30" s="48" t="str">
        <x:v>Physical Android Human QA. Confirmed Reactor drag failure and mobile/short-height fit/clipping issues; other tested mobile behavior reported correct.</x:v>
      </x:c>
    </x:row>
    <x:row r="31" ht="58" customHeight="1">
      <x:c r="A31" s="48" t="str">
        <x:v>S23</x:v>
      </x:c>
      <x:c r="B31" s="48" t="str"/>
      <x:c r="C31" s="48" t="str"/>
      <x:c r="D31" s="48" t="str"/>
      <x:c r="E31" s="48" t="str"/>
      <x:c r="F31" s="48" t="str"/>
      <x:c r="G31" s="48" t="str"/>
      <x:c r="H31" s="48" t="str"/>
      <x:c r="I31" s="48" t="str"/>
      <x:c r="J31" s="48" t="str"/>
      <x:c r="K31" s="48" t="str"/>
      <x:c r="L31" s="48" t="str"/>
      <x:c r="M31" s="58"/>
      <x:c r="N31" s="48" t="str"/>
      <x:c r="O31" s="48" t="str"/>
    </x:row>
    <x:row r="32" ht="58" customHeight="1">
      <x:c r="A32" s="48" t="str">
        <x:v>S24</x:v>
      </x:c>
      <x:c r="B32" s="48" t="str"/>
      <x:c r="C32" s="48" t="str"/>
      <x:c r="D32" s="48" t="str"/>
      <x:c r="E32" s="48" t="str"/>
      <x:c r="F32" s="48" t="str"/>
      <x:c r="G32" s="48" t="str"/>
      <x:c r="H32" s="48" t="str"/>
      <x:c r="I32" s="48" t="str"/>
      <x:c r="J32" s="48" t="str"/>
      <x:c r="K32" s="48" t="str"/>
      <x:c r="L32" s="48" t="str"/>
      <x:c r="M32" s="58"/>
      <x:c r="N32" s="48" t="str"/>
      <x:c r="O32" s="48" t="str"/>
    </x:row>
    <x:row r="33" ht="58" customHeight="1">
      <x:c r="A33" s="48" t="str">
        <x:v>S25</x:v>
      </x:c>
      <x:c r="B33" s="48" t="str"/>
      <x:c r="C33" s="48" t="str"/>
      <x:c r="D33" s="48" t="str"/>
      <x:c r="E33" s="48" t="str"/>
      <x:c r="F33" s="48" t="str"/>
      <x:c r="G33" s="48" t="str"/>
      <x:c r="H33" s="48" t="str"/>
      <x:c r="I33" s="48" t="str"/>
      <x:c r="J33" s="48" t="str"/>
      <x:c r="K33" s="48" t="str"/>
      <x:c r="L33" s="48" t="str"/>
      <x:c r="M33" s="58"/>
      <x:c r="N33" s="48" t="str"/>
      <x:c r="O33" s="48" t="str"/>
    </x:row>
    <x:row r="34" ht="58" customHeight="1">
      <x:c r="A34" s="48" t="str">
        <x:v>S26</x:v>
      </x:c>
      <x:c r="B34" s="48" t="str"/>
      <x:c r="C34" s="48" t="str"/>
      <x:c r="D34" s="48" t="str"/>
      <x:c r="E34" s="48" t="str"/>
      <x:c r="F34" s="48" t="str"/>
      <x:c r="G34" s="48" t="str"/>
      <x:c r="H34" s="48" t="str"/>
      <x:c r="I34" s="48" t="str"/>
      <x:c r="J34" s="48" t="str"/>
      <x:c r="K34" s="48" t="str"/>
      <x:c r="L34" s="48" t="str"/>
      <x:c r="M34" s="58"/>
      <x:c r="N34" s="48" t="str"/>
      <x:c r="O34" s="48" t="str"/>
    </x:row>
    <x:row r="35" ht="58" customHeight="1">
      <x:c r="A35" s="48" t="str">
        <x:v>S27</x:v>
      </x:c>
      <x:c r="B35" s="48" t="str"/>
      <x:c r="C35" s="48" t="str"/>
      <x:c r="D35" s="48" t="str"/>
      <x:c r="E35" s="48" t="str"/>
      <x:c r="F35" s="48" t="str"/>
      <x:c r="G35" s="48" t="str"/>
      <x:c r="H35" s="48" t="str"/>
      <x:c r="I35" s="48" t="str"/>
      <x:c r="J35" s="48" t="str"/>
      <x:c r="K35" s="48" t="str"/>
      <x:c r="L35" s="48" t="str"/>
      <x:c r="M35" s="58"/>
      <x:c r="N35" s="48" t="str"/>
      <x:c r="O35" s="48" t="str"/>
    </x:row>
    <x:row r="36" ht="58" customHeight="1">
      <x:c r="A36" s="48" t="str">
        <x:v>S28</x:v>
      </x:c>
      <x:c r="B36" s="48" t="str"/>
      <x:c r="C36" s="48" t="str"/>
      <x:c r="D36" s="48" t="str"/>
      <x:c r="E36" s="48" t="str"/>
      <x:c r="F36" s="48" t="str"/>
      <x:c r="G36" s="48" t="str"/>
      <x:c r="H36" s="48" t="str"/>
      <x:c r="I36" s="48" t="str"/>
      <x:c r="J36" s="48" t="str"/>
      <x:c r="K36" s="48" t="str"/>
      <x:c r="L36" s="48" t="str"/>
      <x:c r="M36" s="58"/>
      <x:c r="N36" s="48" t="str"/>
      <x:c r="O36" s="48" t="str"/>
    </x:row>
    <x:row r="37" ht="58" customHeight="1">
      <x:c r="A37" s="48" t="str">
        <x:v>S29</x:v>
      </x:c>
      <x:c r="B37" s="48" t="str"/>
      <x:c r="C37" s="48" t="str"/>
      <x:c r="D37" s="48" t="str"/>
      <x:c r="E37" s="48" t="str"/>
      <x:c r="F37" s="48" t="str"/>
      <x:c r="G37" s="48" t="str"/>
      <x:c r="H37" s="48" t="str"/>
      <x:c r="I37" s="48" t="str"/>
      <x:c r="J37" s="48" t="str"/>
      <x:c r="K37" s="48" t="str"/>
      <x:c r="L37" s="48" t="str"/>
      <x:c r="M37" s="58"/>
      <x:c r="N37" s="48" t="str"/>
      <x:c r="O37" s="48" t="str"/>
    </x:row>
    <x:row r="38" ht="58" customHeight="1">
      <x:c r="A38" s="48" t="str">
        <x:v>S30</x:v>
      </x:c>
      <x:c r="B38" s="48" t="str"/>
      <x:c r="C38" s="48" t="str"/>
      <x:c r="D38" s="48" t="str"/>
      <x:c r="E38" s="48" t="str"/>
      <x:c r="F38" s="48" t="str"/>
      <x:c r="G38" s="48" t="str"/>
      <x:c r="H38" s="48" t="str"/>
      <x:c r="I38" s="48" t="str"/>
      <x:c r="J38" s="48" t="str"/>
      <x:c r="K38" s="48" t="str"/>
      <x:c r="L38" s="48" t="str"/>
      <x:c r="M38" s="58"/>
      <x:c r="N38" s="48" t="str"/>
      <x:c r="O38" s="48" t="str"/>
    </x:row>
    <x:row r="39" ht="22" customHeight="1">
      <x:c r="A39" s="63"/>
      <x:c r="B39" s="63"/>
      <x:c r="C39" s="63"/>
      <x:c r="D39" s="63"/>
      <x:c r="E39" s="63"/>
      <x:c r="F39" s="63"/>
      <x:c r="G39" s="63"/>
      <x:c r="H39" s="63"/>
      <x:c r="I39" s="63"/>
      <x:c r="J39" s="63"/>
      <x:c r="K39" s="63"/>
      <x:c r="L39" s="63"/>
      <x:c r="M39" s="63"/>
      <x:c r="N39" s="63"/>
      <x:c r="O39" s="63"/>
    </x:row>
    <x:row r="40" ht="22" customHeight="1">
      <x:c r="A40" s="63"/>
      <x:c r="B40" s="63"/>
      <x:c r="C40" s="63"/>
      <x:c r="D40" s="63"/>
      <x:c r="E40" s="63"/>
      <x:c r="F40" s="63"/>
      <x:c r="G40" s="63"/>
      <x:c r="H40" s="63"/>
      <x:c r="I40" s="63"/>
      <x:c r="J40" s="63"/>
      <x:c r="K40" s="63"/>
      <x:c r="L40" s="63"/>
      <x:c r="M40" s="63"/>
      <x:c r="N40" s="63"/>
      <x:c r="O40" s="63"/>
    </x:row>
    <x:row r="41" ht="22" customHeight="1">
      <x:c r="A41" s="63"/>
      <x:c r="B41" s="63"/>
      <x:c r="C41" s="63"/>
      <x:c r="D41" s="63"/>
      <x:c r="E41" s="63"/>
      <x:c r="F41" s="63"/>
      <x:c r="G41" s="63"/>
      <x:c r="H41" s="63"/>
      <x:c r="I41" s="63"/>
      <x:c r="J41" s="63"/>
      <x:c r="K41" s="63"/>
      <x:c r="L41" s="63"/>
      <x:c r="M41" s="63"/>
      <x:c r="N41" s="63"/>
      <x:c r="O41" s="63"/>
    </x:row>
    <x:row r="42" ht="22" customHeight="1">
      <x:c r="A42" s="63"/>
      <x:c r="B42" s="63"/>
      <x:c r="C42" s="63"/>
      <x:c r="D42" s="63"/>
      <x:c r="E42" s="63"/>
      <x:c r="F42" s="63"/>
      <x:c r="G42" s="63"/>
      <x:c r="H42" s="63"/>
      <x:c r="I42" s="63"/>
      <x:c r="J42" s="63"/>
      <x:c r="K42" s="63"/>
      <x:c r="L42" s="63"/>
      <x:c r="M42" s="63"/>
      <x:c r="N42" s="63"/>
      <x:c r="O42" s="63"/>
    </x:row>
    <x:row r="43" ht="22" customHeight="1">
      <x:c r="A43" s="63"/>
      <x:c r="B43" s="63"/>
      <x:c r="C43" s="63"/>
      <x:c r="D43" s="63"/>
      <x:c r="E43" s="63"/>
      <x:c r="F43" s="63"/>
      <x:c r="G43" s="63"/>
      <x:c r="H43" s="63"/>
      <x:c r="I43" s="63"/>
      <x:c r="J43" s="63"/>
      <x:c r="K43" s="63"/>
      <x:c r="L43" s="63"/>
      <x:c r="M43" s="63"/>
      <x:c r="N43" s="63"/>
      <x:c r="O43" s="63"/>
    </x:row>
    <x:row r="44" ht="22" customHeight="1">
      <x:c r="A44" s="63"/>
      <x:c r="B44" s="63"/>
      <x:c r="C44" s="63"/>
      <x:c r="D44" s="63"/>
      <x:c r="E44" s="63"/>
      <x:c r="F44" s="63"/>
      <x:c r="G44" s="63"/>
      <x:c r="H44" s="63"/>
      <x:c r="I44" s="63"/>
      <x:c r="J44" s="63"/>
      <x:c r="K44" s="63"/>
      <x:c r="L44" s="63"/>
      <x:c r="M44" s="63"/>
      <x:c r="N44" s="63"/>
      <x:c r="O44" s="63"/>
    </x:row>
  </x:sheetData>
  <x:mergeCells>
    <x:mergeCell ref="A1:O2"/>
    <x:mergeCell ref="A3:O3"/>
    <x:mergeCell ref="A5:O6"/>
  </x:mergeCells>
  <x:dataValidations count="2">
    <x:dataValidation type="list" sqref="B9:B38">
      <x:formula1>"LIVE,LOCAL DEV,LOCAL PROD,LOCAL / TERMINAL,LIVE + LOCAL,ALL"</x:formula1>
    </x:dataValidation>
    <x:dataValidation type="list" sqref="K9:K38">
      <x:formula1>"Mouse + keyboard,Touch (physical),Touch emulation,Keyboard only,Screen reader,Mixed"</x:formula1>
    </x:dataValidation>
  </x:dataValidations>
  <x:pageMargins left="0.7" right="0.7" top="0.75" bottom="0.75" header="0.3" footer="0.3"/>
  <x:tableParts count="1">
    <x:tablePart xmlns:r="http://schemas.openxmlformats.org/officeDocument/2006/relationships" r:id="Rbf671f089b8c482a"/>
  </x:tableParts>
</x:worksheet>
</file>

<file path=xl/worksheets/sheet4.xml><?xml version="1.0" encoding="utf-8"?>
<x:worksheet xmlns:x="http://schemas.openxmlformats.org/spreadsheetml/2006/main">
  <x:sheetFormatPr defaultRowHeight="15"/>
  <x:cols>
    <x:col min="1" max="1" width="13" hidden="0" customWidth="1"/>
    <x:col min="2" max="2" width="20" hidden="0" customWidth="1"/>
    <x:col min="3" max="3" width="19" hidden="0" customWidth="1"/>
    <x:col min="4" max="4" width="36" hidden="0" customWidth="1"/>
    <x:col min="5" max="5" width="18" hidden="0" customWidth="1"/>
    <x:col min="6" max="6" width="38" hidden="0" customWidth="1"/>
    <x:col min="7" max="7" width="36" hidden="0" customWidth="1"/>
    <x:col min="8" max="8" width="40" hidden="0" customWidth="1"/>
    <x:col min="9" max="9" width="40" hidden="0" customWidth="1"/>
    <x:col min="10" max="10" width="28" hidden="0" customWidth="1"/>
    <x:col min="11" max="11" width="16" hidden="0" customWidth="1"/>
    <x:col min="12" max="12" width="15" hidden="0" customWidth="1"/>
    <x:col min="13" max="13" width="18" hidden="0" customWidth="1"/>
    <x:col min="14" max="14" width="14" hidden="0" customWidth="1"/>
    <x:col min="15" max="15" width="35" hidden="0" customWidth="1"/>
  </x:cols>
  <x:sheetData>
    <x:row r="1">
      <x:c r="A1" s="14" t="str">
        <x:v>LIVE WEBSITE | PRODUCT QA</x:v>
      </x:c>
      <x:c r="B1" s="14"/>
      <x:c r="C1" s="14"/>
      <x:c r="D1" s="14"/>
      <x:c r="E1" s="14"/>
      <x:c r="F1" s="14"/>
      <x:c r="G1" s="14"/>
      <x:c r="H1" s="14"/>
      <x:c r="I1" s="14"/>
      <x:c r="J1" s="14"/>
      <x:c r="K1" s="14"/>
      <x:c r="L1" s="14"/>
      <x:c r="M1" s="14"/>
      <x:c r="N1" s="14"/>
      <x:c r="O1" s="14"/>
    </x:row>
    <x:row r="2">
      <x:c r="A2" s="14"/>
      <x:c r="B2" s="14"/>
      <x:c r="C2" s="14"/>
      <x:c r="D2" s="14"/>
      <x:c r="E2" s="14"/>
      <x:c r="F2" s="14"/>
      <x:c r="G2" s="14"/>
      <x:c r="H2" s="14"/>
      <x:c r="I2" s="14"/>
      <x:c r="J2" s="14"/>
      <x:c r="K2" s="14"/>
      <x:c r="L2" s="14"/>
      <x:c r="M2" s="14"/>
      <x:c r="N2" s="14"/>
      <x:c r="O2" s="14"/>
    </x:row>
    <x:row r="3" ht="24" customHeight="1">
      <x:c r="A3" s="19" t="str">
        <x:v>Baseline 42e8b200 | 34 tests | No results pre-approved | P0/P1 must be resolved before product sign-off</x:v>
      </x:c>
      <x:c r="B3" s="19"/>
      <x:c r="C3" s="19"/>
      <x:c r="D3" s="19"/>
      <x:c r="E3" s="19"/>
      <x:c r="F3" s="19"/>
      <x:c r="G3" s="19"/>
      <x:c r="H3" s="19"/>
      <x:c r="I3" s="19"/>
      <x:c r="J3" s="19"/>
      <x:c r="K3" s="19"/>
      <x:c r="L3" s="19"/>
      <x:c r="M3" s="19"/>
      <x:c r="N3" s="19"/>
      <x:c r="O3" s="19"/>
    </x:row>
    <x:row r="4" ht="24" customHeight="1">
      <x:c r="A4" s="22" t="str">
        <x:v>Fill Status, Actual result, Evidence, Bug ID, Session, Tester and Date. Filters available on row 8. N/A needs a reason; missing hardware is Blocked.</x:v>
      </x:c>
      <x:c r="B4" s="22"/>
      <x:c r="C4" s="22"/>
      <x:c r="D4" s="22"/>
      <x:c r="E4" s="22"/>
      <x:c r="F4" s="22"/>
      <x:c r="G4" s="22"/>
      <x:c r="H4" s="22"/>
      <x:c r="I4" s="22"/>
      <x:c r="J4" s="22"/>
      <x:c r="K4" s="22"/>
      <x:c r="L4" s="22"/>
      <x:c r="M4" s="22"/>
      <x:c r="N4" s="22"/>
      <x:c r="O4" s="22"/>
    </x:row>
    <x:row r="5">
      <x:c r="A5" s="10"/>
      <x:c r="B5" s="10"/>
      <x:c r="C5" s="10"/>
      <x:c r="D5" s="10"/>
      <x:c r="E5" s="10"/>
      <x:c r="F5" s="10"/>
      <x:c r="G5" s="10"/>
      <x:c r="H5" s="10"/>
      <x:c r="I5" s="10"/>
      <x:c r="J5" s="10"/>
      <x:c r="K5" s="10"/>
      <x:c r="L5" s="10"/>
      <x:c r="M5" s="10"/>
      <x:c r="N5" s="10"/>
      <x:c r="O5" s="10"/>
    </x:row>
    <x:row r="6" ht="23" customHeight="1">
      <x:c r="A6" s="25" t="str">
        <x:v>TOTAL</x:v>
      </x:c>
      <x:c r="B6" s="25" t="n">
        <x:f>COUNTA(A9:A42)</x:f>
        <x:v>34</x:v>
      </x:c>
      <x:c r="C6" s="25" t="str">
        <x:v>PASS</x:v>
      </x:c>
      <x:c r="D6" s="25" t="n">
        <x:f>COUNTIF(E9:E42,"Pass")</x:f>
        <x:v>34</x:v>
      </x:c>
      <x:c r="E6" s="25" t="str">
        <x:v>FAIL</x:v>
      </x:c>
      <x:c r="F6" s="25" t="n">
        <x:f>COUNTIF(E9:E42,"Fail")</x:f>
        <x:v>0</x:v>
      </x:c>
      <x:c r="G6" s="25" t="str">
        <x:v>BLOCKED</x:v>
      </x:c>
      <x:c r="H6" s="25" t="n">
        <x:f>COUNTIF(E9:E42,"Blocked")</x:f>
        <x:v>0</x:v>
      </x:c>
      <x:c r="I6" s="25" t="str">
        <x:v>NOT RUN</x:v>
      </x:c>
      <x:c r="J6" s="25" t="n">
        <x:f>COUNTIF(E9:E42,"Not run")</x:f>
        <x:v>0</x:v>
      </x:c>
      <x:c r="K6" s="25" t="str">
        <x:v>EXECUTED</x:v>
      </x:c>
      <x:c r="L6" s="28" t="n">
        <x:f>IFERROR((COUNTIF(E9:E42,"Pass")+COUNTIF(E9:E42,"Fail")+COUNTIF(E9:E42,"N/A"))/COUNTA(A9:A42),0)</x:f>
        <x:v>1</x:v>
      </x:c>
      <x:c r="M6" s="10"/>
      <x:c r="N6" s="10"/>
      <x:c r="O6" s="10"/>
    </x:row>
    <x:row r="7">
      <x:c r="A7" s="10"/>
      <x:c r="B7" s="10"/>
      <x:c r="C7" s="10"/>
      <x:c r="D7" s="10"/>
      <x:c r="E7" s="10"/>
      <x:c r="F7" s="10"/>
      <x:c r="G7" s="10"/>
      <x:c r="H7" s="10"/>
      <x:c r="I7" s="10"/>
      <x:c r="J7" s="10"/>
      <x:c r="K7" s="10"/>
      <x:c r="L7" s="10"/>
      <x:c r="M7" s="10"/>
      <x:c r="N7" s="10"/>
      <x:c r="O7" s="10"/>
    </x:row>
    <x:row r="8" ht="32" customHeight="1">
      <x:c r="A8" s="33" t="str">
        <x:v>Test ID</x:v>
      </x:c>
      <x:c r="B8" s="33" t="str">
        <x:v>Environment</x:v>
      </x:c>
      <x:c r="C8" s="33" t="str">
        <x:v>Priority</x:v>
      </x:c>
      <x:c r="D8" s="33" t="str">
        <x:v>Test / feature</x:v>
      </x:c>
      <x:c r="E8" s="33" t="str">
        <x:v>Status</x:v>
      </x:c>
      <x:c r="F8" s="33" t="str">
        <x:v>Actual result / notes</x:v>
      </x:c>
      <x:c r="G8" s="33" t="str">
        <x:v>Setup / caution</x:v>
      </x:c>
      <x:c r="H8" s="33" t="str">
        <x:v>Steps to perform</x:v>
      </x:c>
      <x:c r="I8" s="33" t="str">
        <x:v>Expected result</x:v>
      </x:c>
      <x:c r="J8" s="33" t="str">
        <x:v>Evidence link / file</x:v>
      </x:c>
      <x:c r="K8" s="33" t="str">
        <x:v>Bug ID(s)</x:v>
      </x:c>
      <x:c r="L8" s="33" t="str">
        <x:v>Session ID</x:v>
      </x:c>
      <x:c r="M8" s="33" t="str">
        <x:v>Tester</x:v>
      </x:c>
      <x:c r="N8" s="33" t="str">
        <x:v>Test date</x:v>
      </x:c>
      <x:c r="O8" s="33" t="str">
        <x:v>Source / baseline reference</x:v>
      </x:c>
    </x:row>
    <x:row r="9" ht="76" customHeight="1">
      <x:c r="A9" s="42" t="str">
        <x:v>WEB-001</x:v>
      </x:c>
      <x:c r="B9" s="42" t="str">
        <x:v>LIVE</x:v>
      </x:c>
      <x:c r="C9" s="42" t="str">
        <x:v>P0 - Critical</x:v>
      </x:c>
      <x:c r="D9" s="42" t="str">
        <x:v>Merged build actually deployed</x:v>
      </x:c>
      <x:c r="E9" s="48" t="str">
        <x:v>Pass</x:v>
      </x:c>
      <x:c r="F9" s="48" t="str">
        <x:v>PREVIOUS RESULT: Blocked. HUMAN TEST REQUIRED: verify the deployed commit and cache state in the hosting/deployment dashboard; that account and merge metadata are not available in this browser session.
NEW RESULT: PARTIAL; RUNNABLE.
REASON: GitHub Pages push run37344149677 at intended42e8b200… completed successfully; checkout/build/deploy jobs succeeded. Fresh HTTPS LIVE tab opened. Cache-disable control unavailable, so explicit cache-disabled reload assertion remains unverified.
SCOPE: GitHub deployment + fresh LIVE navigation
V3: Blocked [TOOL_LIMITATION]. Proven already: GitHub Pages push run37344149677 at intended42e8b200… completed successfully; checkout/build/deploy jobs succeeded. Fresh HTTPS LIVE tab opened. Cache-disable control unavailable, so explicit cache-disabled reload assertion remains unverified.
Remaining: Explicit cache-disabled LIVE reload; deployment SHA/job success is already proven.
Specific reason: GitHub Pages push run37344149677 at intended42e8b200… completed successfully; checkout/build/deploy jobs succeeded. Fresh HTTPS LIVE tab opened. Cache-disable control unavailable, so explicit cache-disabled reload assertion remains unverified.
Attempted this run: no. Owner: Engineer. Next step: Establish the specific required fixture/tool/runtime, then Human tester executes: Explicit cache-disabled LIVE reload; deployment SHA/job success is already proven.
Session: V2-LIVE; scope: GitHub deployment + fresh LIVE navigation. See QA_FINALIZATION_V3_JOURNAL.json#WEB-001 and HANDOFF_AND_FIX_QUEUE.md.
4B.1 retest record (2026-10-06): Opened deployed Reactor page once. `odesos-build` meta reports production revision 7571df5c5990ba1e7bd55706b8aa16ebc994da8f, dirty false; actual game iframe mounted. Cache-disabled reload was unavailable, so exact workbook criterion is not fully established.
FINAL AI 4B.2 (2026-10-07): BLOCKED — HUMAN TESTING REQUIRED [ENGINEERING_ACCESS].
Why AI did not finish: The required isolated profile, controlled storage fixture, cache-disable/deployment inspection or attributed console/network surface is unavailable. One capability inventory/readiness check was sufficient; no repeated unsupported attempts.
AI already proved: Retained earlier partial evidence: GitHub Pages push run37344149677 at intended42e8b200… completed successfully; checkout/build/deploy jobs succeeded. Fresh HTTPS LIVE tab opened. Cache-disable control unavailable, so explicit cache-disabled reload assertion remains unverified. Retained 4B.1: Opened deployed Reactor page once. `odesos-build` meta reports production revision 7571df5c5990ba1e7bd55706b8aa16ebc994da8f, dirty false; actual game iframe mounted. Cache-disabled reload was unavailable, so exact workbook criterion is not fully established.
Remaining: Explicit cache-disabled LIVE reload; deployment SHA/job success is already proven.
Human action (HQA-10): 1. Use LIVE; Engineer with native browser DevTools and GitHub Actions deployment read access. 2. Public browser + deployment access 3. Execute only the remaining assertion: Explicit cache-disabled LIVE reload; deployment SHA/job success is already proven.
Expected: Deployment succeeded for the intended commit. Live QA is not performed against a stale tab or a PR preview.
Capture: Pass/Fail per ID, screenshot or timestamped video/state snapshot, device/OS/browser versions, viewport/zoom/DPR and a note; compare prior evidence instead of repeating proven subassertions.
Session/evidence: S17; Historical evidence retained; no fresh case execution claimed. Full grouped instructions: HUMAN_QA_FINAL.md#hqa-10.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9" s="42" t="str">
        <x:v>Public browser + deployment access</x:v>
      </x:c>
      <x:c r="H9" s="42" t="str">
        <x:v>Open GitHub Actions for the current main merge; record the deployed commit in Sessions. Reload the live home with cache disabled once.</x:v>
      </x:c>
      <x:c r="I9" s="42" t="str">
        <x:v>Deployment succeeded for the intended commit. Live QA is not performed against a stale tab or a PR preview.</x:v>
      </x:c>
      <x:c r="J9" s="48" t="str">
        <x:v>C:/Users/mlgjm/OneDrive/Desktop/GameWebsite/outputs/qa-recovery-v2/QA_Evidence/deployment-identity.json; historical: C:/Users/mlgjm/OneDrive/Desktop/GameWebsite/outputs/qa-20261006/QA_Evidence/notes/browser-observations.md; V3 journal: C:/Users/mlgjm/OneDrive/Desktop/GameWebsite/outputs/qa-finalization-v3/QA_FINALIZATION_V3_JOURNAL.json#WEB-001; live-build-identity.json
Human QA completion statement, 2026-10-07; prior AI evidence retained.</x:v>
      </x:c>
      <x:c r="K9" s="48"/>
      <x:c r="L9" s="48" t="str">
        <x:v>S20</x:v>
      </x:c>
      <x:c r="M9" s="48" t="str">
        <x:v>Hristo</x:v>
      </x:c>
      <x:c r="N9" s="58" t="n">
        <x:v>46302</x:v>
      </x:c>
      <x:c r="O9" s="54" t="str"/>
    </x:row>
    <x:row r="10" ht="76" customHeight="1">
      <x:c r="A10" s="44" t="str">
        <x:v>WEB-002</x:v>
      </x:c>
      <x:c r="B10" s="44" t="str">
        <x:v>LIVE</x:v>
      </x:c>
      <x:c r="C10" s="44" t="str">
        <x:v>P0 - Critical</x:v>
      </x:c>
      <x:c r="D10" s="44" t="str">
        <x:v>Public home opens securely</x:v>
      </x:c>
      <x:c r="E10" s="48" t="str">
        <x:v>Pass</x:v>
      </x:c>
      <x:c r="F10" s="48" t="str">
        <x:v>PREVIOUS RESULT: Pass. Opened the production homepage over HTTPS in the in-app browser. It rendered with navigation and playable-game links and no certificate warning.
NEW RESULT: PASS; COMPLETED.
REASON: Prior specific observation directly answers expected result; retained as historical scoped evidence, not a fresh V2 execution.
SCOPE: Historical evidence only; V2 not executed
V3: Pass; retained V2 evidence, not rerun. 
Session: S01; scope: Historical evidence only; V2 not executed. See QA_FINALIZATION_V3_JOURNAL.json#WEB-002 and HANDOFF_AND_FIX_QUEUE.md.
Retained prior verified evidence — not rerun in Final AI pass.</x:v>
      </x:c>
      <x:c r="G10" s="44"/>
      <x:c r="H10" s="44" t="str">
        <x:v>Open https://odesosgames.com/ in a normal browser, not a local URL. Note certificate/loading errors.</x:v>
      </x:c>
      <x:c r="I10" s="44" t="str">
        <x:v>Home loads over HTTPS without certificate warnings or a blank application.</x:v>
      </x:c>
      <x:c r="J10" s="48" t="str">
        <x:v>C:/Users/mlgjm/OneDrive/Desktop/GameWebsite/outputs/qa-20261006/QA_Evidence/notes/browser-observations.md; V3 journal: C:/Users/mlgjm/OneDrive/Desktop/GameWebsite/outputs/qa-finalization-v3/QA_FINALIZATION_V3_JOURNAL.json#WEB-002</x:v>
      </x:c>
      <x:c r="K10" s="48"/>
      <x:c r="L10" s="48" t="str">
        <x:v>S01</x:v>
      </x:c>
      <x:c r="M10" s="48" t="str">
        <x:v>Codex QA</x:v>
      </x:c>
      <x:c r="N10" s="58" t="n">
        <x:v>46301</x:v>
      </x:c>
      <x:c r="O10" s="55" t="str"/>
    </x:row>
    <x:row r="11" ht="76" customHeight="1">
      <x:c r="A11" s="42" t="str">
        <x:v>WEB-003</x:v>
      </x:c>
      <x:c r="B11" s="42" t="str">
        <x:v>LIVE</x:v>
      </x:c>
      <x:c r="C11" s="42" t="str">
        <x:v>P0 - Critical</x:v>
      </x:c>
      <x:c r="D11" s="42" t="str">
        <x:v>Two public games only</x:v>
      </x:c>
      <x:c r="E11" s="48" t="str">
        <x:v>Pass</x:v>
      </x:c>
      <x:c r="F11" s="48" t="str">
        <x:v>PREVIOUS RESULT: Pass. Homepage and collection show Orbit Break and Reactor Stack as the two playable games. No Games 003–005 cards or links were surfaced.
NEW RESULT: PASS; COMPLETED.
REASON: Prior specific observation directly answers expected result; retained as historical scoped evidence, not a fresh V2 execution.
SCOPE: Historical evidence only; V2 not executed
V3: Pass; retained V2 evidence, not rerun. 
Session: S01; scope: Historical evidence only; V2 not executed. See QA_FINALIZATION_V3_JOURNAL.json#WEB-003 and HANDOFF_AND_FIX_QUEUE.md.
Retained prior verified evidence — not rerun in Final AI pass.</x:v>
      </x:c>
      <x:c r="G11" s="42"/>
      <x:c r="H11" s="42" t="str">
        <x:v>Inspect featured area, catalogue, navigation and footer.</x:v>
      </x:c>
      <x:c r="I11" s="42" t="str">
        <x:v>Orbit Break and Reactor Stack are discoverable. Games 003–005 are not advertised.</x:v>
      </x:c>
      <x:c r="J11" s="48" t="str">
        <x:v>C:/Users/mlgjm/OneDrive/Desktop/GameWebsite/outputs/qa-20261006/QA_Evidence/notes/browser-observations.md; V3 journal: C:/Users/mlgjm/OneDrive/Desktop/GameWebsite/outputs/qa-finalization-v3/QA_FINALIZATION_V3_JOURNAL.json#WEB-003</x:v>
      </x:c>
      <x:c r="K11" s="48"/>
      <x:c r="L11" s="48" t="str">
        <x:v>S01</x:v>
      </x:c>
      <x:c r="M11" s="48" t="str">
        <x:v>Codex QA</x:v>
      </x:c>
      <x:c r="N11" s="58" t="n">
        <x:v>46301</x:v>
      </x:c>
      <x:c r="O11" s="54" t="str"/>
    </x:row>
    <x:row r="12" ht="76" customHeight="1">
      <x:c r="A12" s="44" t="str">
        <x:v>WEB-004</x:v>
      </x:c>
      <x:c r="B12" s="44" t="str">
        <x:v>LIVE</x:v>
      </x:c>
      <x:c r="C12" s="44" t="str">
        <x:v>P1 - Required</x:v>
      </x:c>
      <x:c r="D12" s="44" t="str">
        <x:v>Evergreen copy and counts</x:v>
      </x:c>
      <x:c r="E12" s="48" t="str">
        <x:v>Pass</x:v>
      </x:c>
      <x:c r="F12" s="48" t="str">
        <x:v>PREVIOUS RESULT: Pass. Homepage headline is current and footer says 2 playable games.
NEW RESULT: PASS; COMPLETED.
REASON: Prior specific observation directly answers expected result; retained as historical scoped evidence, not a fresh V2 execution.
SCOPE: Historical evidence only; V2 not executed
V3: Pass; retained V2 evidence, not rerun. 
Session: S01; scope: Historical evidence only; V2 not executed. See QA_FINALIZATION_V3_JOURNAL.json#WEB-004 and HANDOFF_AND_FIX_QUEUE.md.
Retained prior verified evidence — not rerun in Final AI pass.</x:v>
      </x:c>
      <x:c r="G12" s="44"/>
      <x:c r="H12" s="44" t="str">
        <x:v>Read home headline, catalogue count and footer.</x:v>
      </x:c>
      <x:c r="I12" s="44" t="str">
        <x:v>No stale 'One game today' copy; displayed game count matches two public games.</x:v>
      </x:c>
      <x:c r="J12" s="48" t="str">
        <x:v>C:/Users/mlgjm/OneDrive/Desktop/GameWebsite/outputs/qa-20261006/QA_Evidence/notes/browser-observations.md; V3 journal: C:/Users/mlgjm/OneDrive/Desktop/GameWebsite/outputs/qa-finalization-v3/QA_FINALIZATION_V3_JOURNAL.json#WEB-004</x:v>
      </x:c>
      <x:c r="K12" s="48"/>
      <x:c r="L12" s="48" t="str">
        <x:v>S01</x:v>
      </x:c>
      <x:c r="M12" s="48" t="str">
        <x:v>Codex QA</x:v>
      </x:c>
      <x:c r="N12" s="58" t="n">
        <x:v>46301</x:v>
      </x:c>
      <x:c r="O12" s="55" t="str"/>
    </x:row>
    <x:row r="13" ht="76" customHeight="1">
      <x:c r="A13" s="42" t="str">
        <x:v>WEB-005</x:v>
      </x:c>
      <x:c r="B13" s="42" t="str">
        <x:v>LIVE</x:v>
      </x:c>
      <x:c r="C13" s="42" t="str">
        <x:v>P0 - Critical</x:v>
      </x:c>
      <x:c r="D13" s="42" t="str">
        <x:v>Home and Games navigation</x:v>
      </x:c>
      <x:c r="E13" s="48" t="str">
        <x:v>Pass</x:v>
      </x:c>
      <x:c r="F13" s="48" t="str">
        <x:v>PREVIOUS RESULT: Pass. Clicked the Games navigation link; URL moved to #collection and focus landed on main-content.
NEW RESULT: PASS; COMPLETED.
REASON: HomeandGameslinksexercisedonHome,OrbitandReactor; Gamesreaches/#collectionandHomereachesroot, bothcardsloadcorrectgame. No accidentalstartfromnavigation; iframeunmountonnavigationexpected.
SCOPE: LIVE HTTPS
V3: Pass; retained V2 evidence, not rerun. 
Session: V2-LIVE; scope: LIVE HTTPS. See QA_FINALIZATION_V3_JOURNAL.json#WEB-005 and HANDOFF_AND_FIX_QUEUE.md.
Retained prior verified evidence — not rerun in Final AI pass.</x:v>
      </x:c>
      <x:c r="G13" s="42"/>
      <x:c r="H13" s="42" t="str">
        <x:v>Use Home and Games links from home and both game pages.</x:v>
      </x:c>
      <x:c r="I13" s="42" t="str">
        <x:v>Links reach the intended home/catalogue location; no broken anchor or accidental game restart from unrelated clicks.</x:v>
      </x:c>
      <x:c r="J13" s="48" t="str">
        <x:v>C:/Users/mlgjm/OneDrive/Desktop/GameWebsite/outputs/qa-recovery-v2/QA_Evidence/live-home-games-navigation.json; historical: C:/Users/mlgjm/OneDrive/Desktop/GameWebsite/outputs/qa-20261006/QA_Evidence/notes/browser-observations.md; V3 journal: C:/Users/mlgjm/OneDrive/Desktop/GameWebsite/outputs/qa-finalization-v3/QA_FINALIZATION_V3_JOURNAL.json#WEB-005</x:v>
      </x:c>
      <x:c r="K13" s="48"/>
      <x:c r="L13" s="48" t="str">
        <x:v>V2-LIVE</x:v>
      </x:c>
      <x:c r="M13" s="48" t="str">
        <x:v>Codex QA</x:v>
      </x:c>
      <x:c r="N13" s="58" t="n">
        <x:v>46301</x:v>
      </x:c>
      <x:c r="O13" s="54" t="str"/>
    </x:row>
    <x:row r="14" ht="76" customHeight="1">
      <x:c r="A14" s="44" t="str">
        <x:v>WEB-006</x:v>
      </x:c>
      <x:c r="B14" s="44" t="str">
        <x:v>LIVE</x:v>
      </x:c>
      <x:c r="C14" s="44" t="str">
        <x:v>P1 - Required</x:v>
      </x:c>
      <x:c r="D14" s="44" t="str">
        <x:v>About page</x:v>
      </x:c>
      <x:c r="E14" s="48" t="str">
        <x:v>Pass</x:v>
      </x:c>
      <x:c r="F14" s="48" t="str">
        <x:v>PREVIOUS RESULT: Pass. Direct About route rendered the project description and working game-navigation links.
NEW RESULT: PASS; COMPLETED.
REASON: Prior specific observation directly answers expected result; retained as historical scoped evidence, not a fresh V2 execution.
SCOPE: Historical evidence only; V2 not executed
V3: Pass; retained V2 evidence, not rerun. 
Session: S01; scope: Historical evidence only; V2 not executed. See QA_FINALIZATION_V3_JOURNAL.json#WEB-006 and HANDOFF_AND_FIX_QUEUE.md.
Retained prior verified evidence — not rerun in Final AI pass.</x:v>
      </x:c>
      <x:c r="G14" s="44"/>
      <x:c r="H14" s="44" t="str">
        <x:v>Open About directly and through navigation; read content.</x:v>
      </x:c>
      <x:c r="I14" s="44" t="str">
        <x:v>Real project description renders; links work; no fabricated company details or unfinished layout.</x:v>
      </x:c>
      <x:c r="J14" s="48" t="str">
        <x:v>C:/Users/mlgjm/OneDrive/Desktop/GameWebsite/outputs/qa-20261006/QA_Evidence/notes/browser-observations.md; V3 journal: C:/Users/mlgjm/OneDrive/Desktop/GameWebsite/outputs/qa-finalization-v3/QA_FINALIZATION_V3_JOURNAL.json#WEB-006</x:v>
      </x:c>
      <x:c r="K14" s="48"/>
      <x:c r="L14" s="48" t="str">
        <x:v>S01</x:v>
      </x:c>
      <x:c r="M14" s="48" t="str">
        <x:v>Codex QA</x:v>
      </x:c>
      <x:c r="N14" s="58" t="n">
        <x:v>46301</x:v>
      </x:c>
      <x:c r="O14" s="55" t="str"/>
    </x:row>
    <x:row r="15" ht="76" customHeight="1">
      <x:c r="A15" s="42" t="str">
        <x:v>WEB-007</x:v>
      </x:c>
      <x:c r="B15" s="42" t="str">
        <x:v>LIVE</x:v>
      </x:c>
      <x:c r="C15" s="42" t="str">
        <x:v>P1 - Required</x:v>
      </x:c>
      <x:c r="D15" s="42" t="str">
        <x:v>Contact page: honest current state</x:v>
      </x:c>
      <x:c r="E15" s="48" t="str">
        <x:v>Pass</x:v>
      </x:c>
      <x:c r="F15" s="48" t="str">
        <x:v>PREVIOUS RESULT: Pass. Direct Contact route states that no public contact channel has been published and offers a games link.
NEW RESULT: PASS; COMPLETED.
REASON: Prior specific observation directly answers expected result; retained as historical scoped evidence, not a fresh V2 execution.
SCOPE: Historical evidence only; V2 not executed
V3: Pass; retained V2 evidence, not rerun. 
Session: S01; scope: Historical evidence only; V2 not executed. See QA_FINALIZATION_V3_JOURNAL.json#WEB-007 and HANDOFF_AND_FIX_QUEUE.md.
Retained prior verified evidence — not rerun in Final AI pass.</x:v>
      </x:c>
      <x:c r="G15" s="42" t="str">
        <x:v>Contact method was not approved in source handoff.</x:v>
      </x:c>
      <x:c r="H15" s="42" t="str">
        <x:v>Open Contact; test any actual published contact action.</x:v>
      </x:c>
      <x:c r="I15" s="42" t="str">
        <x:v>Page renders honestly. Missing approved contact channel is recorded as a deferred submission item, not assumed implemented.</x:v>
      </x:c>
      <x:c r="J15" s="48" t="str">
        <x:v>C:/Users/mlgjm/OneDrive/Desktop/GameWebsite/outputs/qa-20261006/QA_Evidence/notes/browser-observations.md; V3 journal: C:/Users/mlgjm/OneDrive/Desktop/GameWebsite/outputs/qa-finalization-v3/QA_FINALIZATION_V3_JOURNAL.json#WEB-007</x:v>
      </x:c>
      <x:c r="K15" s="48"/>
      <x:c r="L15" s="48" t="str">
        <x:v>S01</x:v>
      </x:c>
      <x:c r="M15" s="48" t="str">
        <x:v>Codex QA</x:v>
      </x:c>
      <x:c r="N15" s="58" t="n">
        <x:v>46301</x:v>
      </x:c>
      <x:c r="O15" s="54" t="str"/>
    </x:row>
    <x:row r="16" ht="76" customHeight="1">
      <x:c r="A16" s="44" t="str">
        <x:v>WEB-008</x:v>
      </x:c>
      <x:c r="B16" s="44" t="str">
        <x:v>LIVE</x:v>
      </x:c>
      <x:c r="C16" s="44" t="str">
        <x:v>P1 - Required</x:v>
      </x:c>
      <x:c r="D16" s="44" t="str">
        <x:v>Footer and legal-placeholder boundary</x:v>
      </x:c>
      <x:c r="E16" s="48" t="str">
        <x:v>Pass</x:v>
      </x:c>
      <x:c r="F16" s="48" t="str">
        <x:v>PREVIOUS RESULT: Pass. The public footer showed About and Contact links and no dead Privacy/Terms placeholder links; both existing destinations had been opened and verified.
NEW RESULT: PASS; COMPLETED.
REASON: Prior specific observation directly answers expected result; retained as historical scoped evidence, not a fresh V2 execution.
SCOPE: Historical evidence only; V2 not executed
V3: Pass; retained V2 evidence, not rerun. 
Session: S01; scope: Historical evidence only; V2 not executed. See QA_FINALIZATION_V3_JOURNAL.json#WEB-008 and HANDOFF_AND_FIX_QUEUE.md.
Retained prior verified evidence — not rerun in Final AI pass.</x:v>
      </x:c>
      <x:c r="G16" s="44"/>
      <x:c r="H16" s="44" t="str">
        <x:v>Follow each existing footer link; look for dead Privacy/Terms links.</x:v>
      </x:c>
      <x:c r="I16" s="44" t="str">
        <x:v>Game/About/Contact links work. No fake or dead legal links. Legal/CMP content remains outside this product gate.</x:v>
      </x:c>
      <x:c r="J16" s="48" t="str">
        <x:v>C:/Users/mlgjm/OneDrive/Desktop/GameWebsite/outputs/qa-20261006/QA_Evidence/notes/browser-observations.md; V3 journal: C:/Users/mlgjm/OneDrive/Desktop/GameWebsite/outputs/qa-finalization-v3/QA_FINALIZATION_V3_JOURNAL.json#WEB-008</x:v>
      </x:c>
      <x:c r="K16" s="48"/>
      <x:c r="L16" s="48" t="str">
        <x:v>S01</x:v>
      </x:c>
      <x:c r="M16" s="48" t="str">
        <x:v>Codex QA</x:v>
      </x:c>
      <x:c r="N16" s="58" t="n">
        <x:v>46301</x:v>
      </x:c>
      <x:c r="O16" s="55" t="str"/>
    </x:row>
    <x:row r="17" ht="76" customHeight="1">
      <x:c r="A17" s="42" t="str">
        <x:v>WEB-009</x:v>
      </x:c>
      <x:c r="B17" s="42" t="str">
        <x:v>LIVE</x:v>
      </x:c>
      <x:c r="C17" s="42" t="str">
        <x:v>P0 - Critical</x:v>
      </x:c>
      <x:c r="D17" s="42" t="str">
        <x:v>Mobile navigation remains present</x:v>
      </x:c>
      <x:c r="E17" s="48" t="str">
        <x:v>Pass</x:v>
      </x:c>
      <x:c r="F17" s="48" t="str">
        <x:v>PREVIOUS RESULT: Pass. At the tested narrow viewport the primary navigation remained visible and usable.
NEW RESULT: PASS; COMPLETED.
REASON: Actual viewport320 and390: Home, Games, About, Contact and theme control all remained present and worked via UI. Navigation routes/hash and theme changed; original theme restored. At every route outer document scrollWidth equaled clientWidth, with nonzero navigation-link bounds.
SCOPE: LIVE desktop responsive emulation320/390
V3: Pass; retained V2 evidence, not rerun. 
Session: V2-LIVE; scope: LIVE desktop responsive emulation320/390. See QA_FINALIZATION_V3_JOURNAL.json#WEB-009 and HANDOFF_AND_FIX_QUEUE.md.
Retained prior verified evidence — not rerun in Final AI pass.</x:v>
      </x:c>
      <x:c r="G17" s="42" t="str">
        <x:v>Use actual/emulated device; record which.</x:v>
      </x:c>
      <x:c r="H17" s="42" t="str">
        <x:v>At 320 and 390 CSS-pixel width, use every navigation link and theme control.</x:v>
      </x:c>
      <x:c r="I17" s="42" t="str">
        <x:v>Navigation remains usable; it does not disappear without an alternative. No horizontal overflow.</x:v>
      </x:c>
      <x:c r="J17" s="48" t="str">
        <x:v>C:/Users/mlgjm/OneDrive/Desktop/GameWebsite/outputs/qa-recovery-v2/QA_Evidence/live-mobile-nav-all-links.json; C:/Users/mlgjm/OneDrive/Desktop/GameWebsite/outputs/qa-recovery-v2/QA_Evidence/live-mobile-nav-320.png; C:/Users/mlgjm/OneDrive/Desktop/GameWebsite/outputs/qa-recovery-v2/QA_Evidence/live-mobile-nav-390.png; historical: C:/Users/mlgjm/OneDrive/Desktop/GameWebsite/outputs/qa-20261006/QA_Evidence/notes/browser-observations.md; V3 journal: C:/Users/mlgjm/OneDrive/Desktop/GameWebsite/outputs/qa-finalization-v3/QA_FINALIZATION_V3_JOURNAL.json#WEB-009</x:v>
      </x:c>
      <x:c r="K17" s="48"/>
      <x:c r="L17" s="48" t="str">
        <x:v>V2-LIVE</x:v>
      </x:c>
      <x:c r="M17" s="48" t="str">
        <x:v>Codex QA</x:v>
      </x:c>
      <x:c r="N17" s="58" t="n">
        <x:v>46301</x:v>
      </x:c>
      <x:c r="O17" s="54" t="str"/>
    </x:row>
    <x:row r="18" ht="76" customHeight="1">
      <x:c r="A18" s="44" t="str">
        <x:v>WEB-010</x:v>
      </x:c>
      <x:c r="B18" s="44" t="str">
        <x:v>LIVE</x:v>
      </x:c>
      <x:c r="C18" s="44" t="str">
        <x:v>P1 - Required</x:v>
      </x:c>
      <x:c r="D18" s="44" t="str">
        <x:v>Game cards and tab stops</x:v>
      </x:c>
      <x:c r="E18" s="48" t="str">
        <x:v>Pass</x:v>
      </x:c>
      <x:c r="F18" s="48" t="str">
        <x:v>PREVIOUS RESULT: Pass. Keyboard-tab traversal reached the skip link, site navigation, theme control, hero/game-card links and footer links; Return activated the focused Reactor card and loaded its game route.
NEW RESULT: PASS; COMPLETED.
REASON: Actualartspanclicksonbothcollectioncardsnavigatecorrectroutes; EnteronOrbitandReactorcardsworks. RealTabchainhasonecollectionanchorpercard (steps10/11), decorativePlay/artsharelinkratherthanredundantcardstops. HeroCTA/artareseparatehomeareas.
SCOPE: LIVE HTTPS
V3: Pass; retained V2 evidence, not rerun. 
Session: V2-LIVE; scope: LIVE HTTPS. See QA_FINALIZATION_V3_JOURNAL.json#WEB-010 and HANDOFF_AND_FIX_QUEUE.md.
Retained prior verified evidence — not rerun in Final AI pass.</x:v>
      </x:c>
      <x:c r="G18" s="44"/>
      <x:c r="H18" s="44" t="str">
        <x:v>Click card art/Play area; repeat using Tab and Enter.</x:v>
      </x:c>
      <x:c r="I18" s="44" t="str">
        <x:v>Each card navigates correctly; redundant same-route keyboard stops are reduced; real links remain usable.</x:v>
      </x:c>
      <x:c r="J18" s="48" t="str">
        <x:v>C:/Users/mlgjm/OneDrive/Desktop/GameWebsite/outputs/qa-recovery-v2/QA_Evidence/live-card-input-paths.json; C:/Users/mlgjm/OneDrive/Desktop/GameWebsite/outputs/qa-recovery-v2/QA_Evidence/live-home-keyboard-order.json; C:/Users/mlgjm/OneDrive/Desktop/GameWebsite/outputs/qa-recovery-v2/QA_Evidence/live-route-focus-chain.json; historical: C:/Users/mlgjm/OneDrive/Desktop/GameWebsite/outputs/qa-20261006/QA_Evidence/notes/browser-observations.md; V3 journal: C:/Users/mlgjm/OneDrive/Desktop/GameWebsite/outputs/qa-finalization-v3/QA_FINALIZATION_V3_JOURNAL.json#WEB-010</x:v>
      </x:c>
      <x:c r="K18" s="48"/>
      <x:c r="L18" s="48" t="str">
        <x:v>V2-LIVE</x:v>
      </x:c>
      <x:c r="M18" s="48" t="str">
        <x:v>Codex QA</x:v>
      </x:c>
      <x:c r="N18" s="58" t="n">
        <x:v>46301</x:v>
      </x:c>
      <x:c r="O18" s="55" t="str"/>
    </x:row>
    <x:row r="19" ht="76" customHeight="1">
      <x:c r="A19" s="42" t="str">
        <x:v>WEB-011</x:v>
      </x:c>
      <x:c r="B19" s="42" t="str">
        <x:v>LIVE</x:v>
      </x:c>
      <x:c r="C19" s="42" t="str">
        <x:v>P1 - Required</x:v>
      </x:c>
      <x:c r="D19" s="42" t="str">
        <x:v>New-tab link behavior</x:v>
      </x:c>
      <x:c r="E19" s="48" t="str">
        <x:v>Pass</x:v>
      </x:c>
      <x:c r="F19" s="48" t="str">
        <x:v>PREVIOUS RESULT: Pass. Inspected live homepage/player navigation and a branded unknown-route page; observed internal navigation stayed in the current tab and found no target=_blank links in the checked routes.
NEW RESULT: PASS; COMPLETED.
REASON: Real middle-click on LIVE Reactor game card opened a separate tab at Reactor route; original homepage stayed open. Destination loaded playable menu.
SCOPE: LIVE
V3: Pass; retained V2 evidence, not rerun. 
Session: V2-LIVE; scope: LIVE. See QA_FINALIZATION_V3_JOURNAL.json#WEB-011 and HANDOFF_AND_FIX_QUEUE.md.
Retained prior verified evidence — not rerun in Final AI pass.</x:v>
      </x:c>
      <x:c r="G19" s="42"/>
      <x:c r="H19" s="42" t="str">
        <x:v>Open a game link in a new tab; use Back in original tab.</x:v>
      </x:c>
      <x:c r="I19" s="42" t="str">
        <x:v>Normal browser link/navigation behavior is preserved.</x:v>
      </x:c>
      <x:c r="J19" s="48" t="str">
        <x:v>C:/Users/mlgjm/OneDrive/Desktop/GameWebsite/outputs/qa-recovery-v2/QA_Evidence/live-new-tab.txt; historical: C:/Users/mlgjm/OneDrive/Desktop/GameWebsite/outputs/qa-20261006/QA_Evidence/notes/browser-observations.md; V3 journal: C:/Users/mlgjm/OneDrive/Desktop/GameWebsite/outputs/qa-finalization-v3/QA_FINALIZATION_V3_JOURNAL.json#WEB-011</x:v>
      </x:c>
      <x:c r="K19" s="48"/>
      <x:c r="L19" s="48" t="str">
        <x:v>V2-LIVE</x:v>
      </x:c>
      <x:c r="M19" s="48" t="str">
        <x:v>Codex QA</x:v>
      </x:c>
      <x:c r="N19" s="58" t="n">
        <x:v>46301</x:v>
      </x:c>
      <x:c r="O19" s="54" t="str"/>
    </x:row>
    <x:row r="20" ht="76" customHeight="1">
      <x:c r="A20" s="44" t="str">
        <x:v>WEB-012</x:v>
      </x:c>
      <x:c r="B20" s="44" t="str">
        <x:v>LIVE</x:v>
      </x:c>
      <x:c r="C20" s="44" t="str">
        <x:v>P1 - Required</x:v>
      </x:c>
      <x:c r="D20" s="44" t="str">
        <x:v>Player-first page hierarchy</x:v>
      </x:c>
      <x:c r="E20" s="48" t="str">
        <x:v>Pass</x:v>
      </x:c>
      <x:c r="F20" s="48" t="str">
        <x:v>PREVIOUS RESULT: Pass. The homepage hero exposed a Play CTA above the game collection.
NEW RESULT: PASS; COMPLETED.
REASON: Both LIVE player pages at phone and laptop dimensions have compact site navigation before the game and action bar, with title/details below the stage. Captured responsive menu/active/pause/result screenshots show no pre-game hero.
SCOPE: LIVE actual responsive viewports
V3: Pass; retained V2 evidence, not rerun. 
Session: V2-LIVE; scope: LIVE actual responsive viewports. See QA_FINALIZATION_V3_JOURNAL.json#WEB-012 and HANDOFF_AND_FIX_QUEUE.md.
Retained prior verified evidence — not rerun in Final AI pass.</x:v>
      </x:c>
      <x:c r="G20" s="44"/>
      <x:c r="H20" s="44" t="str">
        <x:v>Open each game page at laptop and phone sizes.</x:v>
      </x:c>
      <x:c r="I20" s="44" t="str">
        <x:v>Compact site navigation precedes the game; title/instructions/details are below, not a large pre-game hero.</x:v>
      </x:c>
      <x:c r="J20" s="48" t="str">
        <x:v>C:/Users/mlgjm/OneDrive/Desktop/GameWebsite/outputs/qa-recovery-v2/QA_Evidence/responsive-live-orbit-menu-390x844.png; C:/Users/mlgjm/OneDrive/Desktop/GameWebsite/outputs/qa-recovery-v2/QA_Evidence/responsive-live-orbit-menu-1280x720.png; C:/Users/mlgjm/OneDrive/Desktop/GameWebsite/outputs/qa-recovery-v2/QA_Evidence/responsive-live-reactor-active-390x844.png; C:/Users/mlgjm/OneDrive/Desktop/GameWebsite/outputs/qa-recovery-v2/QA_Evidence/responsive-live-reactor-active-1280x720.png; historical: C:/Users/mlgjm/OneDrive/Desktop/GameWebsite/outputs/qa-20261006/QA_Evidence/notes/browser-observations.md; V3 journal: C:/Users/mlgjm/OneDrive/Desktop/GameWebsite/outputs/qa-finalization-v3/QA_FINALIZATION_V3_JOURNAL.json#WEB-012</x:v>
      </x:c>
      <x:c r="K20" s="48"/>
      <x:c r="L20" s="48" t="str">
        <x:v>V2-LIVE</x:v>
      </x:c>
      <x:c r="M20" s="48" t="str">
        <x:v>Codex QA</x:v>
      </x:c>
      <x:c r="N20" s="58" t="n">
        <x:v>46301</x:v>
      </x:c>
      <x:c r="O20" s="55" t="str"/>
    </x:row>
    <x:row r="21" ht="76" customHeight="1">
      <x:c r="A21" s="42" t="str">
        <x:v>WEB-013</x:v>
      </x:c>
      <x:c r="B21" s="42" t="str">
        <x:v>LIVE</x:v>
      </x:c>
      <x:c r="C21" s="42" t="str">
        <x:v>P1 - Required</x:v>
      </x:c>
      <x:c r="D21" s="42" t="str">
        <x:v>Player action bar</x:v>
      </x:c>
      <x:c r="E21" s="48" t="str">
        <x:v>Pass</x:v>
      </x:c>
      <x:c r="F21" s="48" t="str">
        <x:v>PREVIOUS RESULT: Pass. Orbit and Reactor player action bars exposed Like, Dislike, Controls and Fullscreen actions.
NEW RESULT: NOT_EXECUTED; RUNNABLE.
REASON: Existing evidence needs a targeted comparison against all expected assertions; no V2 browser execution yet.
SCOPE: Historical evidence only; V2 not executed
V3: Pass. LIVE both action bars below stage; both Like and Dislike toggles selected/restored; Controls opens and Escape closes; native fullscreen enters/exits both. No thick stage-top website label.
Session: V3-LIVE; scope: LIVE HTTPS; native in-app Chromium; V3 observed views. See QA_FINALIZATION_V3_JOURNAL.json#WEB-013 and HANDOFF_AND_FIX_QUEUE.md.
Retained prior verified evidence — not rerun in Final AI pass.</x:v>
      </x:c>
      <x:c r="G21" s="42"/>
      <x:c r="H21" s="42" t="str">
        <x:v>Inspect lower action bar on both games and use each control.</x:v>
      </x:c>
      <x:c r="I21" s="42" t="str">
        <x:v>Controls, reactions and fullscreen are reachable below the stage; no thick top player label consumes space.</x:v>
      </x:c>
      <x:c r="J21" s="48" t="str">
        <x:v>C:/Users/mlgjm/OneDrive/Desktop/GameWebsite/outputs/qa-20261006/QA_Evidence/notes/browser-observations.md; NEW V3: C:/Users/mlgjm/OneDrive/Desktop/GameWebsite/outputs/qa-finalization-v3/QA_Evidence/orbit-dislike-selected.txt; C:/Users/mlgjm/OneDrive/Desktop/GameWebsite/outputs/qa-finalization-v3/QA_Evidence/orbit-controls.png; C:/Users/mlgjm/OneDrive/Desktop/GameWebsite/outputs/qa-finalization-v3/QA_Evidence/orbit-action-controls.txt; C:/Users/mlgjm/OneDrive/Desktop/GameWebsite/outputs/qa-finalization-v3/QA_Evidence/orbit-fullscreen-action.txt; C:/Users/mlgjm/OneDrive/Desktop/GameWebsite/outputs/qa-finalization-v3/QA_Evidence/reactor-controls.txt; C:/Users/mlgjm/OneDrive/Desktop/GameWebsite/outputs/qa-finalization-v3/QA_Evidence/reactor-fullscreen-action.txt; C:/Users/mlgjm/OneDrive/Desktop/GameWebsite/outputs/qa-finalization-v3/QA_Evidence/reactor-light-action-bar.png; V3 journal: C:/Users/mlgjm/OneDrive/Desktop/GameWebsite/outputs/qa-finalization-v3/QA_FINALIZATION_V3_JOURNAL.json#WEB-013</x:v>
      </x:c>
      <x:c r="K21" s="48"/>
      <x:c r="L21" s="48" t="str">
        <x:v>V3-LIVE</x:v>
      </x:c>
      <x:c r="M21" s="48" t="str">
        <x:v>Codex QA</x:v>
      </x:c>
      <x:c r="N21" s="58" t="n">
        <x:v>46301</x:v>
      </x:c>
      <x:c r="O21" s="54" t="str"/>
    </x:row>
    <x:row r="22" ht="76" customHeight="1">
      <x:c r="A22" s="44" t="str">
        <x:v>WEB-014</x:v>
      </x:c>
      <x:c r="B22" s="44" t="str">
        <x:v>LIVE</x:v>
      </x:c>
      <x:c r="C22" s="44" t="str">
        <x:v>P0 - Critical</x:v>
      </x:c>
      <x:c r="D22" s="44" t="str">
        <x:v>No internal game-document scrolling</x:v>
      </x:c>
      <x:c r="E22" s="48" t="str">
        <x:v>Pass</x:v>
      </x:c>
      <x:c r="F22" s="48" t="str">
        <x:v>PREVIOUS RESULT: Pass. LIVE Reactor iframe measured 344×459 and Orbit iframe 1215×459; each frame document had scrollWidth=clientWidth, scrollHeight=clientHeight, and overflow-x hidden at the tested viewport.
NEW RESULT: PASS; COMPLETED.
REASON: Both LIVE game documents have scrollWidth=clientWidth and scrollHeight=clientHeight throughout active13-size portrait/landscape matrix; Pause documents also fit. Website scrolling below game and scoped pause-panel scrolling are separate. Reactor hidden-power defect is independently recorded V2-004 and is not waived by this document-scroll check.
SCOPE: LIVE exact document-scroll metrics across thirteen viewports
V3: Pass; retained V2 evidence, not rerun. 
Session: V2-LIVE; scope: LIVE exact document-scroll metrics across thirteen viewports. See QA_FINALIZATION_V3_JOURNAL.json#WEB-014 and HANDOFF_AND_FIX_QUEUE.md.
Retained prior verified evidence — not rerun in Final AI pass.</x:v>
      </x:c>
      <x:c r="G22" s="44"/>
      <x:c r="H22" s="44" t="str">
        <x:v>Play both games in short landscape and portrait; inspect iframe for scrollbars or inaccessible controls.</x:v>
      </x:c>
      <x:c r="I22" s="44" t="str">
        <x:v>Website can scroll to content below. Gameplay document cannot require scrolling; scoped popup/tool scroll is distinct.</x:v>
      </x:c>
      <x:c r="J22" s="48" t="str">
        <x:v>C:/Users/mlgjm/OneDrive/Desktop/GameWebsite/outputs/qa-recovery-v2/QA_Evidence/responsive-live-orbit-active-matrix.json; C:/Users/mlgjm/OneDrive/Desktop/GameWebsite/outputs/qa-recovery-v2/QA_Evidence/responsive-live-reactor-active-matrix.json; C:/Users/mlgjm/OneDrive/Desktop/GameWebsite/outputs/qa-recovery-v2/QA_Evidence/responsive-live-orbit-paused-matrix.json; C:/Users/mlgjm/OneDrive/Desktop/GameWebsite/outputs/qa-recovery-v2/QA_Evidence/responsive-live-reactor-paused-matrix.json; historical: C:/Users/mlgjm/OneDrive/Desktop/GameWebsite/outputs/qa-20261006/QA_Evidence/notes/browser-observations.md; V3 journal: C:/Users/mlgjm/OneDrive/Desktop/GameWebsite/outputs/qa-finalization-v3/QA_FINALIZATION_V3_JOURNAL.json#WEB-014</x:v>
      </x:c>
      <x:c r="K22" s="48"/>
      <x:c r="L22" s="48" t="str">
        <x:v>V2-LIVE</x:v>
      </x:c>
      <x:c r="M22" s="48" t="str">
        <x:v>Codex QA</x:v>
      </x:c>
      <x:c r="N22" s="58" t="n">
        <x:v>46301</x:v>
      </x:c>
      <x:c r="O22" s="55" t="str"/>
    </x:row>
    <x:row r="23" ht="76" customHeight="1">
      <x:c r="A23" s="42" t="str">
        <x:v>WEB-015</x:v>
      </x:c>
      <x:c r="B23" s="42" t="str">
        <x:v>LIVE</x:v>
      </x:c>
      <x:c r="C23" s="42" t="str">
        <x:v>P1 - Required</x:v>
      </x:c>
      <x:c r="D23" s="42" t="str">
        <x:v>Themed spare space / no distortion</x:v>
      </x:c>
      <x:c r="E23" s="48" t="str">
        <x:v>Pass</x:v>
      </x:c>
      <x:c r="F23" s="48" t="str">
        <x:v>PREVIOUS RESULT: Blocked. HUMAN / ENVIRONMENT FOLLOW-UP REQUIRED: Responsive frame geometry was inspected across emulated sizes; physical-device scaling and every control were not verified. Remaining acceptance criteria were not established in this browser session; complete on the specified supported device/profile or with the missing deterministic setup, then update from direct evidence.
NEW RESULT: PASS; COMPLETED.
REASON: Actual LIVE wide-stage resize matrix preserves round Orbit arena and square Reactor cells/canvas. Inspected1920×1080 and640×360 screenshots show deliberate dark/themed space around the centered Reactor allocation and proportional Orbit arena; no stretched circle/cell.
SCOPE: LIVE responsive visual/DOM comparison
V3: Pass; retained V2 evidence, not rerun. 
Session: V2-LIVE; scope: LIVE responsive visual/DOM comparison. See QA_FINALIZATION_V3_JOURNAL.json#WEB-015 and HANDOFF_AND_FIX_QUEUE.md.
Retained prior verified evidence — not rerun in Final AI pass.</x:v>
      </x:c>
      <x:c r="G23" s="42"/>
      <x:c r="H23" s="42" t="str">
        <x:v>Resize a wide player around each game.</x:v>
      </x:c>
      <x:c r="I23" s="42" t="str">
        <x:v>Unused stage space looks intentional; circles/cells keep proportions rather than stretching.</x:v>
      </x:c>
      <x:c r="J23" s="48" t="str">
        <x:v>C:/Users/mlgjm/OneDrive/Desktop/GameWebsite/outputs/qa-recovery-v2/QA_Evidence/responsive-live-orbit-active-1920x1080.png; C:/Users/mlgjm/OneDrive/Desktop/GameWebsite/outputs/qa-recovery-v2/QA_Evidence/responsive-live-reactor-active-1920x1080.png; C:/Users/mlgjm/OneDrive/Desktop/GameWebsite/outputs/qa-recovery-v2/QA_Evidence/responsive-live-orbit-active-640x360.png; C:/Users/mlgjm/OneDrive/Desktop/GameWebsite/outputs/qa-recovery-v2/QA_Evidence/responsive-live-reactor-active-640x360.png; historical: C:/Users/mlgjm/OneDrive/Desktop/GameWebsite/outputs/qa-20261006/QA_Evidence/notes/browser-observations.md; V3 journal: C:/Users/mlgjm/OneDrive/Desktop/GameWebsite/outputs/qa-finalization-v3/QA_FINALIZATION_V3_JOURNAL.json#WEB-015</x:v>
      </x:c>
      <x:c r="K23" s="48"/>
      <x:c r="L23" s="48" t="str">
        <x:v>V2-LIVE</x:v>
      </x:c>
      <x:c r="M23" s="48" t="str">
        <x:v>Codex QA</x:v>
      </x:c>
      <x:c r="N23" s="58" t="n">
        <x:v>46301</x:v>
      </x:c>
      <x:c r="O23" s="54" t="str"/>
    </x:row>
    <x:row r="24" ht="76" customHeight="1">
      <x:c r="A24" s="44" t="str">
        <x:v>WEB-016</x:v>
      </x:c>
      <x:c r="B24" s="44" t="str">
        <x:v>LIVE</x:v>
      </x:c>
      <x:c r="C24" s="44" t="str">
        <x:v>P1 - Required</x:v>
      </x:c>
      <x:c r="D24" s="44" t="str">
        <x:v>Controls popup: content and close</x:v>
      </x:c>
      <x:c r="E24" s="48" t="str">
        <x:v>Pass</x:v>
      </x:c>
      <x:c r="F24" s="48" t="str">
        <x:v>PREVIOUS RESULT: Pass. Orbit Controls popup displayed Space, Click and Tap and a Close controls button.
NEW RESULT: PASS; COMPLETED.
REASON: LIVE Controls publishes Space/Click/Tap for Orbit and Drag cell/Tap source+destination/Mute for Reactor. Both dialogs have working visible Close; focus returns to each triggering Controls button. Representative real player input journeys corroborate the published controls.
SCOPE: LIVE browser both players
V3: Pass; retained V2 evidence, not rerun. 
Session: V2-LIVE; scope: LIVE browser both players. See QA_FINALIZATION_V3_JOURNAL.json#WEB-016 and HANDOFF_AND_FIX_QUEUE.md.
Retained prior verified evidence — not rerun in Final AI pass.</x:v>
      </x:c>
      <x:c r="G24" s="44"/>
      <x:c r="H24" s="44" t="str">
        <x:v>Open Controls on each game; compare text with actual input. Close by X/button.</x:v>
      </x:c>
      <x:c r="I24" s="44" t="str">
        <x:v>Correct game controls, readable popup, visible close, return to the triggering control.</x:v>
      </x:c>
      <x:c r="J24" s="48" t="str">
        <x:v>C:/Users/mlgjm/OneDrive/Desktop/GameWebsite/outputs/qa-recovery-v2/QA_Evidence/live-orbit-controls-dialog.txt; C:/Users/mlgjm/OneDrive/Desktop/GameWebsite/outputs/qa-recovery-v2/QA_Evidence/live-reactor-controls-dialog.txt; C:/Users/mlgjm/OneDrive/Desktop/GameWebsite/outputs/qa-recovery-v2/QA_Evidence/live-both-controls-close-focus.json; historical: C:/Users/mlgjm/OneDrive/Desktop/GameWebsite/outputs/qa-20261006/QA_Evidence/notes/browser-observations.md; V3 journal: C:/Users/mlgjm/OneDrive/Desktop/GameWebsite/outputs/qa-finalization-v3/QA_FINALIZATION_V3_JOURNAL.json#WEB-016</x:v>
      </x:c>
      <x:c r="K24" s="48"/>
      <x:c r="L24" s="48" t="str">
        <x:v>V2-LIVE</x:v>
      </x:c>
      <x:c r="M24" s="48" t="str">
        <x:v>Codex QA</x:v>
      </x:c>
      <x:c r="N24" s="58" t="n">
        <x:v>46301</x:v>
      </x:c>
      <x:c r="O24" s="55" t="str"/>
    </x:row>
    <x:row r="25" ht="76" customHeight="1">
      <x:c r="A25" s="42" t="str">
        <x:v>WEB-017</x:v>
      </x:c>
      <x:c r="B25" s="42" t="str">
        <x:v>LIVE</x:v>
      </x:c>
      <x:c r="C25" s="42" t="str">
        <x:v>P1 - Required</x:v>
      </x:c>
      <x:c r="D25" s="42" t="str">
        <x:v>Controls popup: Escape and focus</x:v>
      </x:c>
      <x:c r="E25" s="48" t="str">
        <x:v>Pass</x:v>
      </x:c>
      <x:c r="F25" s="48" t="str">
        <x:v>PREVIOUS RESULT: Pass. Escape closed the Orbit Controls popup and focus returned to the Controls trigger.
NEW RESULT: PASS; COMPLETED.
REASON: Fresh LIVE Reactor keyboard Enter opens Controls, Tab stays in its single-close-control dialog, Escape closes and returns focus to Controls. Orbit prior keyboard popup evidence retained; neither caused gameplay start/resume.
SCOPE: LIVE browser keyboard focus
V3: Pass; retained V2 evidence, not rerun. 
Session: V2-LIVE; scope: LIVE browser keyboard focus. See QA_FINALIZATION_V3_JOURNAL.json#WEB-017 and HANDOFF_AND_FIX_QUEUE.md.
Retained prior verified evidence — not rerun in Final AI pass.</x:v>
      </x:c>
      <x:c r="G25" s="42"/>
      <x:c r="H25" s="42" t="str">
        <x:v>Open Controls via keyboard; press Escape; press Tab once.</x:v>
      </x:c>
      <x:c r="I25" s="42" t="str">
        <x:v>Popup closes; focus returns sensibly to Controls; game input is not accidentally triggered.</x:v>
      </x:c>
      <x:c r="J25" s="48" t="str">
        <x:v>C:/Users/mlgjm/OneDrive/Desktop/GameWebsite/outputs/qa-recovery-v2/QA_Evidence/live-reactor-controls-focus.json; C:/Users/mlgjm/OneDrive/Desktop/GameWebsite/outputs/qa-recovery-v2/QA_Evidence/live-orbit-popup-dismissals.json; historical: C:/Users/mlgjm/OneDrive/Desktop/GameWebsite/outputs/qa-20261006/QA_Evidence/notes/browser-observations.md; V3 journal: C:/Users/mlgjm/OneDrive/Desktop/GameWebsite/outputs/qa-finalization-v3/QA_FINALIZATION_V3_JOURNAL.json#WEB-017</x:v>
      </x:c>
      <x:c r="K25" s="48"/>
      <x:c r="L25" s="48" t="str">
        <x:v>V2-LIVE</x:v>
      </x:c>
      <x:c r="M25" s="48" t="str">
        <x:v>Codex QA</x:v>
      </x:c>
      <x:c r="N25" s="58" t="n">
        <x:v>46301</x:v>
      </x:c>
      <x:c r="O25" s="54" t="str"/>
    </x:row>
    <x:row r="26" ht="76" customHeight="1">
      <x:c r="A26" s="44" t="str">
        <x:v>WEB-018</x:v>
      </x:c>
      <x:c r="B26" s="44" t="str">
        <x:v>LIVE</x:v>
      </x:c>
      <x:c r="C26" s="44" t="str">
        <x:v>P1 - Required</x:v>
      </x:c>
      <x:c r="D26" s="44" t="str">
        <x:v>Local reaction state</x:v>
      </x:c>
      <x:c r="E26" s="48" t="str">
        <x:v>Pass</x:v>
      </x:c>
      <x:c r="F26" s="48" t="str">
        <x:v>PREVIOUS RESULT: Pass. Like Orbit Break toggled locally, remained selected after reload, then was toggled off to restore the test state.
NEW RESULT: PASS; COMPLETED.
REASON: ActualLIVEsequenceLike→DislikeclearsLike; reloadretainsDislike1/Like0. Buttonlocalstate,noinventedglobalvotecounts. Originalbothfalse restoredafterverification.
SCOPE: LIVE HTTPS
V3: Pass; retained V2 evidence, not rerun. 
Session: V2-LIVE; scope: LIVE HTTPS. See QA_FINALIZATION_V3_JOURNAL.json#WEB-018 and HANDOFF_AND_FIX_QUEUE.md.
Retained prior verified evidence — not rerun in Final AI pass.</x:v>
      </x:c>
      <x:c r="G26" s="44" t="str">
        <x:v>Reaction state is local, not a backend vote.</x:v>
      </x:c>
      <x:c r="H26" s="44" t="str">
        <x:v>Select Like, then Dislike, then reload this browser origin.</x:v>
      </x:c>
      <x:c r="I26" s="44" t="str">
        <x:v>Local selection behaves consistently without fake global vote counts or broken controls.</x:v>
      </x:c>
      <x:c r="J26" s="48" t="str">
        <x:v>C:/Users/mlgjm/OneDrive/Desktop/GameWebsite/outputs/qa-recovery-v2/QA_Evidence/live-reaction-before-reload.txt; C:/Users/mlgjm/OneDrive/Desktop/GameWebsite/outputs/qa-recovery-v2/QA_Evidence/live-reaction-reload.txt; historical: C:/Users/mlgjm/OneDrive/Desktop/GameWebsite/outputs/qa-20261006/QA_Evidence/notes/browser-observations.md; V3 journal: C:/Users/mlgjm/OneDrive/Desktop/GameWebsite/outputs/qa-finalization-v3/QA_FINALIZATION_V3_JOURNAL.json#WEB-018</x:v>
      </x:c>
      <x:c r="K26" s="48"/>
      <x:c r="L26" s="48" t="str">
        <x:v>V2-LIVE</x:v>
      </x:c>
      <x:c r="M26" s="48" t="str">
        <x:v>Codex QA</x:v>
      </x:c>
      <x:c r="N26" s="58" t="n">
        <x:v>46301</x:v>
      </x:c>
      <x:c r="O26" s="55" t="str"/>
    </x:row>
    <x:row r="27" ht="76" customHeight="1">
      <x:c r="A27" s="42" t="str">
        <x:v>WEB-019</x:v>
      </x:c>
      <x:c r="B27" s="42" t="str">
        <x:v>LIVE</x:v>
      </x:c>
      <x:c r="C27" s="42" t="str">
        <x:v>P1 - Required</x:v>
      </x:c>
      <x:c r="D27" s="42" t="str">
        <x:v>Skip link and main target</x:v>
      </x:c>
      <x:c r="E27" s="48" t="str">
        <x:v>Pass</x:v>
      </x:c>
      <x:c r="F27" s="48" t="str">
        <x:v>PREVIOUS RESULT: Pass. Skip to main content changed the hash to #main-content and focus moved to the main-content container.
NEW RESULT: PARTIAL; RUNNABLE.
REASON: EnteractivationofSkipToMainContentonHome/Orbit/About/Contact setscorrect#main-contenthash. Home/About/ContactfocusMAIN; OrbitloadfocusmovesintoiframeinsideMAIN. HomefirstTabreachesSkiplink; gameinitialautofocus/visiblefocuschainstilltargeted.
SCOPE: LIVE HTTPS
V3: Pass. Retained V2 Home/Orbit/About/Contact skip hashes and Home first-Tab proof. V3 native Tab on fresh About shows visible skip focus; game initial autofocus is iframe inside MAIN. Focused Orbit Skip visibly outlined; Return reaches #main-content and main then iframe inside it. Wording is Skip to main content.
Session: V3-LIVE; scope: LIVE HTTPS; native in-app Chromium; V3 observed views. See QA_FINALIZATION_V3_JOURNAL.json#WEB-019 and HANDOFF_AND_FIX_QUEUE.md.
Retained prior verified evidence — not rerun in Final AI pass.</x:v>
      </x:c>
      <x:c r="G27" s="42"/>
      <x:c r="H27" s="42" t="str">
        <x:v>Use Tab from page start on home, game, About and Contact; activate Skip to main content.</x:v>
      </x:c>
      <x:c r="I27" s="42" t="str">
        <x:v>Visible focus and correct main-content destination; wording is not 'Skip to games' everywhere.</x:v>
      </x:c>
      <x:c r="J27" s="48" t="str">
        <x:v>C:/Users/mlgjm/OneDrive/Desktop/GameWebsite/outputs/qa-recovery-v2/QA_Evidence/live-skip-main-destinations.json; C:/Users/mlgjm/OneDrive/Desktop/GameWebsite/outputs/qa-recovery-v2/QA_Evidence/live-home-keyboard-order.json; historical: C:/Users/mlgjm/OneDrive/Desktop/GameWebsite/outputs/qa-20261006/QA_Evidence/notes/browser-observations.md; NEW V3: C:/Users/mlgjm/OneDrive/Desktop/GameWebsite/outputs/qa-finalization-v3/QA_Evidence/light-keyboard-focus.png; C:/Users/mlgjm/OneDrive/Desktop/GameWebsite/outputs/qa-finalization-v3/QA_Evidence/orbit-skip-link-focused.png; C:/Users/mlgjm/OneDrive/Desktop/GameWebsite/outputs/qa-finalization-v3/QA_Evidence/orbit-skip-activated.txt; C:/Users/mlgjm/OneDrive/Desktop/GameWebsite/outputs/qa-finalization-v3/QA_Evidence/orbit-skip-focus-target.json; V3 journal: C:/Users/mlgjm/OneDrive/Desktop/GameWebsite/outputs/qa-finalization-v3/QA_FINALIZATION_V3_JOURNAL.json#WEB-019</x:v>
      </x:c>
      <x:c r="K27" s="48"/>
      <x:c r="L27" s="48" t="str">
        <x:v>V3-LIVE</x:v>
      </x:c>
      <x:c r="M27" s="48" t="str">
        <x:v>Codex QA</x:v>
      </x:c>
      <x:c r="N27" s="58" t="n">
        <x:v>46301</x:v>
      </x:c>
      <x:c r="O27" s="54" t="str"/>
    </x:row>
    <x:row r="28" ht="76" customHeight="1">
      <x:c r="A28" s="44" t="str">
        <x:v>WEB-020</x:v>
      </x:c>
      <x:c r="B28" s="44" t="str">
        <x:v>LIVE</x:v>
      </x:c>
      <x:c r="C28" s="44" t="str">
        <x:v>P1 - Required</x:v>
      </x:c>
      <x:c r="D28" s="44" t="str">
        <x:v>SPA route focus and Back/Forward</x:v>
      </x:c>
      <x:c r="E28" s="48" t="str">
        <x:v>Pass</x:v>
      </x:c>
      <x:c r="F28" s="48" t="str">
        <x:v>PREVIOUS RESULT: Pass. Opened About from LIVE, browser Back restored home/#main-content and Forward restored About; focus moved to main-content on each route.
NEW RESULT: PASS; COMPLETED.
REASON: ActualHome→Orbitbykeyboardcard→About→Reactor→BackAbout→ForwardReactor; focusmain-contentonAbout/Reactor/BackForward, Orbitautoloadfocusedliveiframe. No detachedfocus/route trap; keyboardhomeorderrecorded.
SCOPE: LIVE HTTPS
V3: Pass; retained V2 evidence, not rerun. 
Session: V2-LIVE; scope: LIVE HTTPS. See QA_FINALIZATION_V3_JOURNAL.json#WEB-020 and HANDOFF_AND_FIX_QUEUE.md.
Retained prior verified evidence — not rerun in Final AI pass.</x:v>
      </x:c>
      <x:c r="G28" s="44"/>
      <x:c r="H28" s="44" t="str">
        <x:v>Navigate Home → Orbit → About → Reactor; use Back/Forward while watching keyboard focus.</x:v>
      </x:c>
      <x:c r="I28" s="44" t="str">
        <x:v>New page/main target is announced/focused sensibly. Back/Forward does not trap focus or leave detached elements active.</x:v>
      </x:c>
      <x:c r="J28" s="48" t="str">
        <x:v>C:/Users/mlgjm/OneDrive/Desktop/GameWebsite/outputs/qa-recovery-v2/QA_Evidence/live-route-focus-chain.json; C:/Users/mlgjm/OneDrive/Desktop/GameWebsite/outputs/qa-recovery-v2/QA_Evidence/live-home-keyboard-order.json; historical: C:/Users/mlgjm/OneDrive/Desktop/GameWebsite/outputs/qa-20261006/QA_Evidence/notes/browser-observations.md; V3 journal: C:/Users/mlgjm/OneDrive/Desktop/GameWebsite/outputs/qa-finalization-v3/QA_FINALIZATION_V3_JOURNAL.json#WEB-020</x:v>
      </x:c>
      <x:c r="K28" s="48"/>
      <x:c r="L28" s="48" t="str">
        <x:v>V2-LIVE</x:v>
      </x:c>
      <x:c r="M28" s="48" t="str">
        <x:v>Codex QA</x:v>
      </x:c>
      <x:c r="N28" s="58" t="n">
        <x:v>46301</x:v>
      </x:c>
      <x:c r="O28" s="55" t="str"/>
    </x:row>
    <x:row r="29" ht="76" customHeight="1">
      <x:c r="A29" s="42" t="str">
        <x:v>WEB-021</x:v>
      </x:c>
      <x:c r="B29" s="42" t="str">
        <x:v>LIVE</x:v>
      </x:c>
      <x:c r="C29" s="42" t="str">
        <x:v>P1 - Required</x:v>
      </x:c>
      <x:c r="D29" s="42" t="str">
        <x:v>Active navigation semantics</x:v>
      </x:c>
      <x:c r="E29" s="48" t="str">
        <x:v>Pass</x:v>
      </x:c>
      <x:c r="F29" s="48" t="str">
        <x:v>PREVIOUS RESULT: Pass. Home and Games navigation indicated the current route with aria-current="page".
NEW RESULT: PASS; COMPLETED.
REASON: Prior specific observation directly answers expected result; retained as historical scoped evidence, not a fresh V2 execution.
SCOPE: Historical evidence only; V2 not executed
V3: Pass; retained V2 evidence, not rerun. 
Session: S01; scope: Historical evidence only; V2 not executed. See QA_FINALIZATION_V3_JOURNAL.json#WEB-021 and HANDOFF_AND_FIX_QUEUE.md.
Retained prior verified evidence — not rerun in Final AI pass.</x:v>
      </x:c>
      <x:c r="G29" s="42" t="str">
        <x:v>Assisted inspection; do not mark pass by appearance alone.</x:v>
      </x:c>
      <x:c r="H29" s="42" t="str">
        <x:v>Inspect active links in browser accessibility/Elements view.</x:v>
      </x:c>
      <x:c r="I29" s="42" t="str">
        <x:v>Current route has correct aria-current state, not only visual styling.</x:v>
      </x:c>
      <x:c r="J29" s="48" t="str">
        <x:v>C:/Users/mlgjm/OneDrive/Desktop/GameWebsite/outputs/qa-20261006/QA_Evidence/notes/browser-observations.md; V3 journal: C:/Users/mlgjm/OneDrive/Desktop/GameWebsite/outputs/qa-finalization-v3/QA_FINALIZATION_V3_JOURNAL.json#WEB-021</x:v>
      </x:c>
      <x:c r="K29" s="48"/>
      <x:c r="L29" s="48" t="str">
        <x:v>S01</x:v>
      </x:c>
      <x:c r="M29" s="48" t="str">
        <x:v>Codex QA</x:v>
      </x:c>
      <x:c r="N29" s="58" t="n">
        <x:v>46301</x:v>
      </x:c>
      <x:c r="O29" s="54" t="str"/>
    </x:row>
    <x:row r="30" ht="76" customHeight="1">
      <x:c r="A30" s="44" t="str">
        <x:v>WEB-022</x:v>
      </x:c>
      <x:c r="B30" s="44" t="str">
        <x:v>LIVE</x:v>
      </x:c>
      <x:c r="C30" s="44" t="str">
        <x:v>P1 - Required</x:v>
      </x:c>
      <x:c r="D30" s="44" t="str">
        <x:v>Theme persistence</x:v>
      </x:c>
      <x:c r="E30" s="48" t="str">
        <x:v>Pass</x:v>
      </x:c>
      <x:c r="F30" s="48" t="str">
        <x:v>PREVIOUS RESULT: Pass. Changed the theme to dark and reloaded the page; the dark theme remained selected.
NEW RESULT: NOT_EXECUTED; RUNNABLE.
REASON: Existing evidence needs a targeted comparison against all expected assertions; no V2 browser execution yet.
SCOPE: Historical evidence only; V2 not executed
V3: Pass. LIVE theme light survived About navigation/reload and Reactor navigation/reload; restored dark survived Home reload. Light/dark text/icons and visible skip-link focus remained readable in captured views. Original dark preference restored.
Session: V3-LIVE; scope: LIVE HTTPS; native in-app Chromium; V3 observed views. See QA_FINALIZATION_V3_JOURNAL.json#WEB-022 and HANDOFF_AND_FIX_QUEUE.md.
Retained prior verified evidence — not rerun in Final AI pass.</x:v>
      </x:c>
      <x:c r="G30" s="44"/>
      <x:c r="H30" s="44" t="str">
        <x:v>Toggle light/dark, reload, navigate and return.</x:v>
      </x:c>
      <x:c r="I30" s="44" t="str">
        <x:v>Theme persists for this origin; all text, icons and focus states remain readable.</x:v>
      </x:c>
      <x:c r="J30" s="48" t="str">
        <x:v>C:/Users/mlgjm/OneDrive/Desktop/GameWebsite/outputs/qa-20261006/QA_Evidence/notes/browser-observations.md; NEW V3: C:/Users/mlgjm/OneDrive/Desktop/GameWebsite/outputs/qa-finalization-v3/QA_Evidence/theme-light.png; C:/Users/mlgjm/OneDrive/Desktop/GameWebsite/outputs/qa-finalization-v3/QA_Evidence/theme-light-about-reloaded.png; C:/Users/mlgjm/OneDrive/Desktop/GameWebsite/outputs/qa-finalization-v3/QA_Evidence/light-keyboard-focus.png; C:/Users/mlgjm/OneDrive/Desktop/GameWebsite/outputs/qa-finalization-v3/QA_Evidence/dark-about-reloaded.png; C:/Users/mlgjm/OneDrive/Desktop/GameWebsite/outputs/qa-finalization-v3/QA_Evidence/reactor-light-action-bar.png; C:/Users/mlgjm/OneDrive/Desktop/GameWebsite/outputs/qa-finalization-v3/QA_Evidence/theme-final-dark-home.txt; C:/Users/mlgjm/OneDrive/Desktop/GameWebsite/outputs/qa-finalization-v3/QA_Evidence/theme-final-dark-home.png; V3 journal: C:/Users/mlgjm/OneDrive/Desktop/GameWebsite/outputs/qa-finalization-v3/QA_FINALIZATION_V3_JOURNAL.json#WEB-022</x:v>
      </x:c>
      <x:c r="K30" s="48"/>
      <x:c r="L30" s="48" t="str">
        <x:v>V3-LIVE</x:v>
      </x:c>
      <x:c r="M30" s="48" t="str">
        <x:v>Codex QA</x:v>
      </x:c>
      <x:c r="N30" s="58" t="n">
        <x:v>46301</x:v>
      </x:c>
      <x:c r="O30" s="55" t="str"/>
    </x:row>
    <x:row r="31" ht="76" customHeight="1">
      <x:c r="A31" s="42" t="str">
        <x:v>WEB-023</x:v>
      </x:c>
      <x:c r="B31" s="42" t="str">
        <x:v>LIVE</x:v>
      </x:c>
      <x:c r="C31" s="42" t="str">
        <x:v>P2 - Polish</x:v>
      </x:c>
      <x:c r="D31" s="42" t="str">
        <x:v>Theme flash observation</x:v>
      </x:c>
      <x:c r="E31" s="48" t="str">
        <x:v>Pass</x:v>
      </x:c>
      <x:c r="F31" s="48" t="str">
        <x:v>PREVIOUS RESULT: Blocked. HUMAN / ENVIRONMENT FOLLOW-UP REQUIRED: Dark theme persisted after reload; first-paint theme flash was not measured. Remaining acceptance criteria were not established in this browser session; complete on the specified supported device/profile or with the missing deterministic setup, then update from direct evidence.
NEW RESULT: NOT_EXECUTED; RUNNABLE.
REASON: Existing evidence needs a targeted comparison against all expected assertions; no V2 browser execution yet.
SCOPE: Historical evidence only; V2 not executed
V3: Blocked [BUDGET_HANDOFF]. Proven already: No complete direct evidence; earlier notes retained above.
Remaining: Required assertions not yet fully verified: Record any brief flash; treat minor flash as polish unless it obscures content or breaks operation. Procedure: Hard-reload in each preferred theme, optionally with network throttling.
Specific reason: Not attempted/completed within this run's bounded execution budget. Not attempted/completed within this run's bounded execution budget. Not attempted/completed within this run's bounded execution budget. Not attempted/completed within this run's bounded execution budget. No complete scoped evidence for this case before the bounded V3 pass; retain existing observations and execute only the listed missing assertions.
Attempted this run: no. Owner: Human tester. Next step: Human tester executes in the case environment: Required assertions not yet fully verified: Record any brief flash; treat minor flash as polish unless it obscures content or breaks operation. Procedure: Hard-reload in each preferred theme, optionally with network throttling.
Session: S04; scope: Historical evidence only; V2 not executed. See QA_FINALIZATION_V3_JOURNAL.json#WEB-023 and HANDOFF_AND_FIX_QUEUE.md.
FINAL AI 4B.2 (2026-10-07): BLOCKED — HUMAN TESTING REQUIRED [HUMAN_JUDGMENT].
Why AI did not finish: Human visual/game-feel/device-performance judgment or first-paint video is required.
AI already proved: No complete independent evidence for the remaining assertions; historical observations remain in the workbook.
Remaining: Record any brief flash; treat minor flash as polish unless it obscures content or breaks operation. Procedure: Hard-reload in each preferred theme, optionally with network throttling.
Human action (HQA-06): 1. Use LIVE; Human player on desktop and physical phone; record difficulty, viewport and device. 2. Known deferred polish risk. 3. Execute only the remaining assertion: Record any brief flash; treat minor flash as polish unless it obscures content or breaks operation. Procedure: Hard-reload in each preferred theme, optionally with network throttling.
Expected: Record any brief flash; treat minor flash as polish unless it obscures content or breaks operation.
Capture: Pass/Fail per ID, screenshot or timestamped video/state snapshot, device/OS/browser versions, viewport/zoom/DPR and a note; compare prior evidence instead of repeating proven subassertions.
Session/evidence: S17; Historical evidence retained; no fresh case execution claimed. Full grouped instructions: HUMAN_QA_FINAL.md#hqa-06. Historical Bug IDs are retained links, not current confirmed dependencies unless explicitly stated.
FINAL HUMAN QA (2026-10-07): PASS. Dark-theme hard reload shows a visible brief flicker, but it did not obscure content or break operation; recorded as P2 polish per this case's expected result. UX note: prefer preview/card animation on hover/focus instead of constant looping.</x:v>
      </x:c>
      <x:c r="G31" s="42" t="str">
        <x:v>Known deferred polish risk.</x:v>
      </x:c>
      <x:c r="H31" s="42" t="str">
        <x:v>Hard-reload in each preferred theme, optionally with network throttling.</x:v>
      </x:c>
      <x:c r="I31" s="42" t="str">
        <x:v>Record any brief flash; treat minor flash as polish unless it obscures content or breaks operation.</x:v>
      </x:c>
      <x:c r="J31" s="48" t="str">
        <x:v>C:/Users/mlgjm/OneDrive/Desktop/GameWebsite/outputs/qa-20261006/QA_Evidence/notes/browser-observations.md; V3 journal: C:/Users/mlgjm/OneDrive/Desktop/GameWebsite/outputs/qa-finalization-v3/QA_FINALIZATION_V3_JOURNAL.json#WEB-023
Human QA completion statement, 2026-10-07; prior AI evidence retained.</x:v>
      </x:c>
      <x:c r="K31" s="48"/>
      <x:c r="L31" s="48" t="str">
        <x:v>S20</x:v>
      </x:c>
      <x:c r="M31" s="48" t="str">
        <x:v>Hristo</x:v>
      </x:c>
      <x:c r="N31" s="58" t="n">
        <x:v>46302</x:v>
      </x:c>
      <x:c r="O31" s="54" t="str"/>
    </x:row>
    <x:row r="32" ht="76" customHeight="1">
      <x:c r="A32" s="44" t="str">
        <x:v>WEB-024</x:v>
      </x:c>
      <x:c r="B32" s="44" t="str">
        <x:v>LIVE</x:v>
      </x:c>
      <x:c r="C32" s="44" t="str">
        <x:v>P0 - Critical</x:v>
      </x:c>
      <x:c r="D32" s="44" t="str">
        <x:v>Direct route loading</x:v>
      </x:c>
      <x:c r="E32" s="48" t="str">
        <x:v>Pass</x:v>
      </x:c>
      <x:c r="F32" s="48" t="str">
        <x:v>PREVIOUS RESULT: Pass. Direct LIVE routes for About, Contact, Orbit Break and Reactor Stack loaded and displayed their expected page/game content.
NEW RESULT: PASS; COMPLETED.
REASON: FivepublicLIVEURLseachopenedfreshownHTTPStabdirectly, thenrefreshed; Home/About/ContactrenderandbothgameframesreachnormalPlay/InitializemenuwithoutHomeprerequisite.
SCOPE: LIVE HTTPS fresh tabs + refresh
V3: Pass; retained V2 evidence, not rerun. 
Session: V2-LIVE; scope: LIVE HTTPS fresh tabs + refresh. See QA_FINALIZATION_V3_JOURNAL.json#WEB-024 and HANDOFF_AND_FIX_QUEUE.md.
Retained prior verified evidence — not rerun in Final AI pass.</x:v>
      </x:c>
      <x:c r="G32" s="44"/>
      <x:c r="H32" s="44" t="str">
        <x:v>Paste each public URL into a new tab: /, /games/orbit-break/, /games/reactor-stack/, /about/, /contact/.</x:v>
      </x:c>
      <x:c r="I32" s="44" t="str">
        <x:v>Every public route loads directly and after refresh; no dependency on visiting home first.</x:v>
      </x:c>
      <x:c r="J32" s="48" t="str">
        <x:v>C:/Users/mlgjm/OneDrive/Desktop/GameWebsite/outputs/qa-recovery-v2/QA_Evidence/live-five-direct-refresh-routes.json; C:/Users/mlgjm/OneDrive/Desktop/GameWebsite/outputs/qa-recovery-v2/QA_Evidence/live-http-routes.json; historical: C:/Users/mlgjm/OneDrive/Desktop/GameWebsite/outputs/qa-20261006/QA_Evidence/notes/browser-observations.md; V3 journal: C:/Users/mlgjm/OneDrive/Desktop/GameWebsite/outputs/qa-finalization-v3/QA_FINALIZATION_V3_JOURNAL.json#WEB-024</x:v>
      </x:c>
      <x:c r="K32" s="48"/>
      <x:c r="L32" s="48" t="str">
        <x:v>V2-LIVE</x:v>
      </x:c>
      <x:c r="M32" s="48" t="str">
        <x:v>Codex QA</x:v>
      </x:c>
      <x:c r="N32" s="58" t="n">
        <x:v>46301</x:v>
      </x:c>
      <x:c r="O32" s="55" t="str"/>
    </x:row>
    <x:row r="33" ht="76" customHeight="1">
      <x:c r="A33" s="42" t="str">
        <x:v>WEB-025</x:v>
      </x:c>
      <x:c r="B33" s="42" t="str">
        <x:v>LIVE</x:v>
      </x:c>
      <x:c r="C33" s="42" t="str">
        <x:v>P1 - Required</x:v>
      </x:c>
      <x:c r="D33" s="42" t="str">
        <x:v>Unknown route / HTTP 404</x:v>
      </x:c>
      <x:c r="E33" s="48" t="str">
        <x:v>Pass</x:v>
      </x:c>
      <x:c r="F33" s="48" t="str">
        <x:v>PREVIOUS RESULT: Blocked. HUMAN / ENVIRONMENT FOLLOW-UP REQUIRED: LIVE unknown route displayed the branded Page not found view; HTTP response status was not independently verified. Remaining acceptance criteria were not established in this browser session; complete on the specified supported device/profile or with the missing deterministic setup, then update from direct evidence.
NEW RESULT: PASS; COMPLETED.
REASON: UnknownLIVErouteHTTP404, brandedPageNotFoundwithnavigation/footer; actualBrowseGamesrecoverylinkloadsLIVEhomecollection, noblankgame.
SCOPE: LIVE HTTP + browser
V3: Pass; retained V2 evidence, not rerun. 
Session: V2-HTTP; scope: LIVE HTTP + browser. See QA_FINALIZATION_V3_JOURNAL.json#WEB-025 and HANDOFF_AND_FIX_QUEUE.md.
Retained prior verified evidence — not rerun in Final AI pass.</x:v>
      </x:c>
      <x:c r="G33" s="42" t="str">
        <x:v>Live GitHub Pages; DEV fallback is a different environment.</x:v>
      </x:c>
      <x:c r="H33" s="42" t="str">
        <x:v>Open /qa-page-that-does-not-exist/ and inspect Network status.</x:v>
      </x:c>
      <x:c r="I33" s="42" t="str">
        <x:v>Branded not-found page with working recovery links; deployed unknown URL has genuine 404 response, not a blank game.</x:v>
      </x:c>
      <x:c r="J33" s="48" t="str">
        <x:v>C:/Users/mlgjm/OneDrive/Desktop/GameWebsite/outputs/qa-recovery-v2/QA_Evidence/live-http-routes.json; C:/Users/mlgjm/OneDrive/Desktop/GameWebsite/outputs/qa-recovery-v2/QA_Evidence/live-404-browser.txt; C:/Users/mlgjm/OneDrive/Desktop/GameWebsite/outputs/qa-recovery-v2/QA_Evidence/live-404-recovery.txt; historical: C:/Users/mlgjm/OneDrive/Desktop/GameWebsite/outputs/qa-20261006/QA_Evidence/notes/browser-observations.md; V3 journal: C:/Users/mlgjm/OneDrive/Desktop/GameWebsite/outputs/qa-finalization-v3/QA_FINALIZATION_V3_JOURNAL.json#WEB-025</x:v>
      </x:c>
      <x:c r="K33" s="48"/>
      <x:c r="L33" s="48" t="str">
        <x:v>V2-HTTP</x:v>
      </x:c>
      <x:c r="M33" s="48" t="str">
        <x:v>Codex QA</x:v>
      </x:c>
      <x:c r="N33" s="58" t="n">
        <x:v>46301</x:v>
      </x:c>
      <x:c r="O33" s="54" t="str"/>
    </x:row>
    <x:row r="34" ht="76" customHeight="1">
      <x:c r="A34" s="44" t="str">
        <x:v>WEB-026</x:v>
      </x:c>
      <x:c r="B34" s="44" t="str">
        <x:v>LIVE</x:v>
      </x:c>
      <x:c r="C34" s="44" t="str">
        <x:v>P1 - Required</x:v>
      </x:c>
      <x:c r="D34" s="44" t="str">
        <x:v>Hidden portal routes</x:v>
      </x:c>
      <x:c r="E34" s="48" t="str">
        <x:v>Pass</x:v>
      </x:c>
      <x:c r="F34" s="48" t="str">
        <x:v>PREVIOUS RESULT: Pass. Static verification confirmed expected public routes and required hidden-route boundary.
NEW RESULT: PASS; COMPLETED.
REASON: AllthreehiddenportalroutesreturnHTTP404andbrowserbrandedPageNotFound; noadvertisedcard/publicgamepage. Staticembedreachabilitynotaccesscontrol claim.
SCOPE: LIVE HTTP + browser
V3: Pass; retained V2 evidence, not rerun. 
Session: V2-HTTP; scope: LIVE HTTP + browser. See QA_FINALIZATION_V3_JOURNAL.json#WEB-026 and HANDOFF_AND_FIX_QUEUE.md.
Retained prior verified evidence — not rerun in Final AI pass.</x:v>
      </x:c>
      <x:c r="G34" s="44" t="str">
        <x:v>Do not test preserved embeds as if they should be deleted.</x:v>
      </x:c>
      <x:c r="H34" s="44" t="str">
        <x:v>Open /games/last-relay/, /games/station-quartermaster/, /games/signal-below/.</x:v>
      </x:c>
      <x:c r="I34" s="44" t="str">
        <x:v>No normal public game page/card. Known static embed reachability is not access control and is not a failure by itself.</x:v>
      </x:c>
      <x:c r="J34" s="48" t="str">
        <x:v>C:/Users/mlgjm/OneDrive/Desktop/GameWebsite/outputs/qa-recovery-v2/QA_Evidence/live-http-routes.json; C:/Users/mlgjm/OneDrive/Desktop/GameWebsite/outputs/qa-recovery-v2/QA_Evidence/live-hidden-routes-browser.json; historical: C:/Users/mlgjm/OneDrive/Desktop/GameWebsite/outputs/qa-20261006/QA_Evidence/notes/automated-results.md; V3 journal: C:/Users/mlgjm/OneDrive/Desktop/GameWebsite/outputs/qa-finalization-v3/QA_FINALIZATION_V3_JOURNAL.json#WEB-026</x:v>
      </x:c>
      <x:c r="K34" s="48"/>
      <x:c r="L34" s="48" t="str">
        <x:v>V2-HTTP</x:v>
      </x:c>
      <x:c r="M34" s="48" t="str">
        <x:v>Codex QA</x:v>
      </x:c>
      <x:c r="N34" s="58" t="n">
        <x:v>46301</x:v>
      </x:c>
      <x:c r="O34" s="55" t="str"/>
    </x:row>
    <x:row r="35" ht="76" customHeight="1">
      <x:c r="A35" s="42" t="str">
        <x:v>WEB-027</x:v>
      </x:c>
      <x:c r="B35" s="42" t="str">
        <x:v>LIVE</x:v>
      </x:c>
      <x:c r="C35" s="42" t="str">
        <x:v>P1 - Required</x:v>
      </x:c>
      <x:c r="D35" s="42" t="str">
        <x:v>Static route metadata</x:v>
      </x:c>
      <x:c r="E35" s="48" t="str">
        <x:v>Pass</x:v>
      </x:c>
      <x:c r="F35" s="48" t="str">
        <x:v>PREVIOUS RESULT: Pass. Static route metadata verification passed for checked public pages.
NEW RESULT: PASS; COMPLETED.
REASON: DirectLIVEHTTP200 HTML forfivepublicroutes containsuniqueaccuratetitles/descriptions, matchingcanonicals andsocialtagsbeforeJavaScript; savedrawresponsesandparsedvalidation.
SCOPE: LIVE static HTTP HTML
V3: Pass; retained V2 evidence, not rerun. 
Session: V2-HTTP; scope: LIVE static HTTP HTML. See QA_FINALIZATION_V3_JOURNAL.json#WEB-027 and HANDOFF_AND_FIX_QUEUE.md.
Retained prior verified evidence — not rerun in Final AI pass.</x:v>
      </x:c>
      <x:c r="G35" s="42" t="str">
        <x:v>Assisted/source inspection.</x:v>
      </x:c>
      <x:c r="H35" s="42" t="str">
        <x:v>Use View Source on five public routes; record titles/descriptions/canonical/social tags.</x:v>
      </x:c>
      <x:c r="I35" s="42" t="str">
        <x:v>Unique accurate title/description and matching canonical are already in built HTML. Runtime title alone is insufficient.</x:v>
      </x:c>
      <x:c r="J35" s="48" t="str">
        <x:v>C:/Users/mlgjm/OneDrive/Desktop/GameWebsite/outputs/qa-recovery-v2/QA_Evidence/live-metadata-validation.json; C:/Users/mlgjm/OneDrive/Desktop/GameWebsite/outputs/qa-recovery-v2/QA_Evidence/live-http-routes.json; historical: C:/Users/mlgjm/OneDrive/Desktop/GameWebsite/outputs/qa-20261006/QA_Evidence/notes/automated-results.md; V3 journal: C:/Users/mlgjm/OneDrive/Desktop/GameWebsite/outputs/qa-finalization-v3/QA_FINALIZATION_V3_JOURNAL.json#WEB-027</x:v>
      </x:c>
      <x:c r="K35" s="48"/>
      <x:c r="L35" s="48" t="str">
        <x:v>V2-HTTP</x:v>
      </x:c>
      <x:c r="M35" s="48" t="str">
        <x:v>Codex QA</x:v>
      </x:c>
      <x:c r="N35" s="58" t="n">
        <x:v>46301</x:v>
      </x:c>
      <x:c r="O35" s="54" t="str"/>
    </x:row>
    <x:row r="36" ht="76" customHeight="1">
      <x:c r="A36" s="44" t="str">
        <x:v>WEB-028</x:v>
      </x:c>
      <x:c r="B36" s="44" t="str">
        <x:v>LIVE</x:v>
      </x:c>
      <x:c r="C36" s="44" t="str">
        <x:v>P1 - Required</x:v>
      </x:c>
      <x:c r="D36" s="44" t="str">
        <x:v>Sitemap and robots</x:v>
      </x:c>
      <x:c r="E36" s="48" t="str">
        <x:v>Pass</x:v>
      </x:c>
      <x:c r="F36" s="48" t="str">
        <x:v>PREVIOUS RESULT: Pass. Static site verification confirmed sitemap and robots artifacts.
NEW RESULT: PASS; COMPLETED.
REASON: LIVE200sitemapcontains exactlyfivepublicroutes, hiddenabsent; robotsAllow/andcorrectHTTPSsitemapreference.
SCOPE: LIVE static HTTP
V3: Pass; retained V2 evidence, not rerun. 
Session: V2-HTTP; scope: LIVE static HTTP. See QA_FINALIZATION_V3_JOURNAL.json#WEB-028 and HANDOFF_AND_FIX_QUEUE.md.
Retained prior verified evidence — not rerun in Final AI pass.</x:v>
      </x:c>
      <x:c r="G36" s="44"/>
      <x:c r="H36" s="44" t="str">
        <x:v>Open /sitemap.xml and /robots.txt; compare published routes.</x:v>
      </x:c>
      <x:c r="I36" s="44" t="str">
        <x:v>Five public routes only; hidden games absent; sitemap reference valid; public site not accidentally blocked.</x:v>
      </x:c>
      <x:c r="J36" s="48" t="str">
        <x:v>C:/Users/mlgjm/OneDrive/Desktop/GameWebsite/outputs/qa-recovery-v2/QA_Evidence/live-static-sitemap.xml.txt; C:/Users/mlgjm/OneDrive/Desktop/GameWebsite/outputs/qa-recovery-v2/QA_Evidence/live-static-robots.txt; historical: C:/Users/mlgjm/OneDrive/Desktop/GameWebsite/outputs/qa-20261006/QA_Evidence/notes/automated-results.md; V3 journal: C:/Users/mlgjm/OneDrive/Desktop/GameWebsite/outputs/qa-finalization-v3/QA_FINALIZATION_V3_JOURNAL.json#WEB-028</x:v>
      </x:c>
      <x:c r="K36" s="48"/>
      <x:c r="L36" s="48" t="str">
        <x:v>V2-HTTP</x:v>
      </x:c>
      <x:c r="M36" s="48" t="str">
        <x:v>Codex QA</x:v>
      </x:c>
      <x:c r="N36" s="58" t="n">
        <x:v>46301</x:v>
      </x:c>
      <x:c r="O36" s="55" t="str"/>
    </x:row>
    <x:row r="37" ht="76" customHeight="1">
      <x:c r="A37" s="42" t="str">
        <x:v>WEB-029</x:v>
      </x:c>
      <x:c r="B37" s="42" t="str">
        <x:v>LIVE</x:v>
      </x:c>
      <x:c r="C37" s="42" t="str">
        <x:v>P1 - Required</x:v>
      </x:c>
      <x:c r="D37" s="42" t="str">
        <x:v>Structured data and social card</x:v>
      </x:c>
      <x:c r="E37" s="48" t="str">
        <x:v>Pass</x:v>
      </x:c>
      <x:c r="F37" s="48" t="str">
        <x:v>PREVIOUS RESULT: Pass. npm run verify:pages parsed JSON-LD and checked Open Graph, social-card and Twitter metadata for the public pages.
NEW RESULT: PASS; COMPLETED.
REASON: LIVErawJSON-LD parses validWebSite/home andVideoGame/bothgames withfactualgenre/platform/language, noaggregateRating. ActualsocialPNGloaded1200×630, visuallyverifiedcompositionwithbothnames.
SCOPE: LIVE static HTTP + image inspection
V3: Pass; retained V2 evidence, not rerun. 
Session: V2-HTTP; scope: LIVE static HTTP + image inspection. See QA_FINALIZATION_V3_JOURNAL.json#WEB-029 and HANDOFF_AND_FIX_QUEUE.md.
Retained prior verified evidence — not rerun in Final AI pass.</x:v>
      </x:c>
      <x:c r="G37" s="42" t="str">
        <x:v>External rich-result approval is not implied.</x:v>
      </x:c>
      <x:c r="H37" s="42" t="str">
        <x:v>Inspect JSON-LD and load /social/odesosgames-card.png.</x:v>
      </x:c>
      <x:c r="I37" s="42" t="str">
        <x:v>Valid factual WebSite/VideoGame data where implemented; no invented ratings; image loads with expected 1200×630 composition.</x:v>
      </x:c>
      <x:c r="J37" s="48" t="str">
        <x:v>C:/Users/mlgjm/OneDrive/Desktop/GameWebsite/outputs/qa-recovery-v2/QA_Evidence/live-metadata-validation.json; C:/Users/mlgjm/OneDrive/Desktop/GameWebsite/outputs/qa-recovery-v2/QA_Evidence/live-social-card.png; historical: C:/Users/mlgjm/OneDrive/Desktop/GameWebsite/outputs/qa-20261006/QA_Evidence/notes/automated-results.md; V3 journal: C:/Users/mlgjm/OneDrive/Desktop/GameWebsite/outputs/qa-finalization-v3/QA_FINALIZATION_V3_JOURNAL.json#WEB-029</x:v>
      </x:c>
      <x:c r="K37" s="48"/>
      <x:c r="L37" s="48" t="str">
        <x:v>V2-HTTP</x:v>
      </x:c>
      <x:c r="M37" s="48" t="str">
        <x:v>Codex QA</x:v>
      </x:c>
      <x:c r="N37" s="58" t="n">
        <x:v>46301</x:v>
      </x:c>
      <x:c r="O37" s="54" t="str"/>
    </x:row>
    <x:row r="38" ht="76" customHeight="1">
      <x:c r="A38" s="44" t="str">
        <x:v>WEB-030</x:v>
      </x:c>
      <x:c r="B38" s="44" t="str">
        <x:v>LIVE</x:v>
      </x:c>
      <x:c r="C38" s="44" t="str">
        <x:v>P1 - Required</x:v>
      </x:c>
      <x:c r="D38" s="44" t="str">
        <x:v>Reduced motion and preview navigation</x:v>
      </x:c>
      <x:c r="E38" s="48" t="str">
        <x:v>Pass</x:v>
      </x:c>
      <x:c r="F38" s="48" t="str">
        <x:v>PREVIOUS RESULT: Blocked. HUMAN TEST REQUIRED: verify reduced-motion behavior with the operating-system preference enabled; this browser session could not set the host OS preference.
NEW RESULT: NOT_EXECUTED; ENVIRONMENT_BLOCKED.
REASON: OS/browser reduced-motion preference cannot be set through current enabled surfaces; normal animated-card navigation remains runnable separately.
SCOPE: Available capability inventory and UI fixture audit
V3: Blocked [TOOL_LIMITATION]. Proven already: OS/browser reduced-motion preference cannot be set through current enabled surfaces; normal animated-card navigation remains runnable separately.
Remaining: Required assertions not yet fully verified: Reduced-motion preview is restrained/static; normal card animation does not prevent navigation. Procedure: Enable OS/browser reduced motion; inspect animated Orbit card; disable and click it.
Specific reason: OS/browser reduced-motion preference cannot be set through current enabled surfaces; normal animated-card navigation remains runnable separately.
Attempted this run: no. Owner: Engineer. Next step: Establish the specific required fixture/tool/runtime, then Human tester executes: Required assertions not yet fully verified: Reduced-motion preview is restrained/static; normal card animation does not prevent navigation. Procedure: Enable OS/browser reduced motion; inspect animated Orbit card; disable and click it.
Session: S01; scope: Available capability inventory and UI fixture audit. See QA_FINALIZATION_V3_JOURNAL.json#WEB-030 and HANDOFF_AND_FIX_QUEUE.md.
FINAL AI 4B.2 (2026-10-07): BLOCKED — HUMAN TESTING REQUIRED [TOOL_LIMITATION].
Why AI did not finish: The remaining native hover, touch, hidden-tab, key delivery, motion emulation or attributed diagnostic capability is not exposed by this API.
AI already proved: No complete independent evidence for the remaining assertions; historical observations remain in the workbook.
Remaining: Reduced-motion preview is restrained/static; normal card animation does not prevent navigation. Procedure: Enable OS/browser reduced motion; inspect animated Orbit card; disable and click it.
Human action (HQA-12): 1. Use LIVE; Native Chrome/Edge, keyboard and visible focus; use LIVE. 2. Create a disposable QA/profile when changing saved state; launch qa:dev or qa:preview for the specified local environment and use the actual printed URL. 3. Execute only the remaining assertion: Reduced-motion preview is restrained/static; normal card animation does not prevent navigation. Procedure: Enable OS/browser reduced motion; inspect animated Orbit card; disable and click it.
Expected: Reduced-motion preview is restrained/static; normal card animation does not prevent navigation.
Capture: Pass/Fail per ID, screenshot or timestamped video/state snapshot, device/OS/browser versions, viewport/zoom/DPR and a note; compare prior evidence instead of repeating proven subassertions.
Session/evidence: S17; Historical evidence retained; no fresh case execution claimed. Full grouped instructions: HUMAN_QA_FINAL.md#hqa-12.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38" s="44"/>
      <x:c r="H38" s="44" t="str">
        <x:v>Enable OS/browser reduced motion; inspect animated Orbit card; disable and click it.</x:v>
      </x:c>
      <x:c r="I38" s="44" t="str">
        <x:v>Reduced-motion preview is restrained/static; normal card animation does not prevent navigation.</x:v>
      </x:c>
      <x:c r="J38" s="48" t="str">
        <x:v>C:/Users/mlgjm/OneDrive/Desktop/GameWebsite/outputs/qa-recovery-v2/QA_Evidence/capability-blockers.json; historical: C:/Users/mlgjm/OneDrive/Desktop/GameWebsite/outputs/qa-20261006/QA_Evidence/notes/browser-observations.md; V3 journal: C:/Users/mlgjm/OneDrive/Desktop/GameWebsite/outputs/qa-finalization-v3/QA_FINALIZATION_V3_JOURNAL.json#WEB-030
Human QA completion statement, 2026-10-07; prior AI evidence retained.</x:v>
      </x:c>
      <x:c r="K38" s="48" t="str">
        <x:v>ENV-BROWSER-ACCESS</x:v>
      </x:c>
      <x:c r="L38" s="48" t="str">
        <x:v>S20</x:v>
      </x:c>
      <x:c r="M38" s="48" t="str">
        <x:v>Hristo</x:v>
      </x:c>
      <x:c r="N38" s="58" t="n">
        <x:v>46302</x:v>
      </x:c>
      <x:c r="O38" s="55" t="str"/>
    </x:row>
    <x:row r="39" ht="76" customHeight="1">
      <x:c r="A39" s="42" t="str">
        <x:v>WEB-031</x:v>
      </x:c>
      <x:c r="B39" s="42" t="str">
        <x:v>LIVE</x:v>
      </x:c>
      <x:c r="C39" s="42" t="str">
        <x:v>P1 - Required</x:v>
      </x:c>
      <x:c r="D39" s="42" t="str">
        <x:v>Full keyboard/focus pass for site UI</x:v>
      </x:c>
      <x:c r="E39" s="48" t="str">
        <x:v>Pass</x:v>
      </x:c>
      <x:c r="F39" s="48" t="str">
        <x:v>PREVIOUS RESULT: Pass. Keyboard traversal covered the site skip/navigation/theme/hero/cards/footer; Return activated the focused Reactor card. Orbit Controls and Quests, Locker and Scores overlays closed with Escape.
NEW RESULT: NOT_EXECUTED; RUNNABLE.
REASON: Existing evidence needs a targeted comparison against all expected assertions; no V2 browser execution yet.
SCOPE: Historical evidence only; V2 not executed
V3: Blocked [BUDGET_HANDOFF]. Proven already: No complete direct evidence; earlier notes retained above.
Remaining: Required assertions not yet fully verified: Visible focus, logical order and no keyboard traps in site UI. Reactor board keyboard navigation is not implemented. Procedure: Tab through navigation, cards, theme, action bar, dialogs and footer.
Specific reason: Not attempted/completed within this run's bounded execution budget. Not attempted/completed within this run's bounded execution budget. Not attempted/completed within this run's bounded execution budget. Not attempted/completed within this run's bounded execution budget. No complete scoped evidence for this case before the bounded V3 pass; retain existing observations and execute only the listed missing assertions.
Attempted this run: no. Owner: Human tester. Next step: Human tester executes in the case environment: Required assertions not yet fully verified: Visible focus, logical order and no keyboard traps in site UI. Reactor board keyboard navigation is not implemented. Procedure: Tab through navigation, cards, theme, action bar, dialogs and footer.
Session: S04; scope: Historical evidence only; V2 not executed. See QA_FINALIZATION_V3_JOURNAL.json#WEB-031 and HANDOFF_AND_FIX_QUEUE.md.
FINAL AI 4B.2 (2026-10-07): BLOCKED — HUMAN TESTING REQUIRED [BUDGET / HUMAN QA HANDOFF].
Why AI did not finish: The bounded Final AI testing window did not complete the full compound scenario. This remains AI-suitable or mixed work, handed to Human QA rather than claiming all practical AI testing complete.
AI already proved: No complete independent evidence for the remaining assertions; historical observations remain in the workbook.
Remaining: Visible focus, logical order and no keyboard traps in site UI. Reactor board keyboard navigation is not implemented. Procedure: Tab through navigation, cards, theme, action bar, dialogs and footer.
Human action (HQA-12): 1. Use LIVE; Native Chrome/Edge, keyboard and visible focus; use LIVE. 2. Create a disposable QA/profile when changing saved state; launch qa:dev or qa:preview for the specified local environment and use the actual printed URL. 3. Execute only the remaining assertion: Visible focus, logical order and no keyboard traps in site UI. Reactor board keyboard navigation is not implemented. Procedure: Tab through navigation, cards, theme, action bar, dialogs and footer.
Expected: Visible focus, logical order and no keyboard traps in site UI. Reactor board keyboard navigation is not implemented.
Capture: Pass/Fail per ID, screenshot or timestamped video/state snapshot, device/OS/browser versions, viewport/zoom/DPR and a note; compare prior evidence instead of repeating proven subassertions.
Session/evidence: S17; Historical evidence retained; no fresh case execution claimed. Full grouped instructions: HUMAN_QA_FINAL.md#hqa-12.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39" s="42"/>
      <x:c r="H39" s="42" t="str">
        <x:v>Tab through navigation, cards, theme, action bar, dialogs and footer.</x:v>
      </x:c>
      <x:c r="I39" s="42" t="str">
        <x:v>Visible focus, logical order and no keyboard traps in site UI. Reactor board keyboard navigation is not implemented.</x:v>
      </x:c>
      <x:c r="J39" s="48" t="str">
        <x:v>C:/Users/mlgjm/OneDrive/Desktop/GameWebsite/outputs/qa-20261006/QA_Evidence/notes/browser-observations.md; V3 journal: C:/Users/mlgjm/OneDrive/Desktop/GameWebsite/outputs/qa-finalization-v3/QA_FINALIZATION_V3_JOURNAL.json#WEB-031
Human QA completion statement, 2026-10-07; prior AI evidence retained.</x:v>
      </x:c>
      <x:c r="K39" s="48"/>
      <x:c r="L39" s="48" t="str">
        <x:v>S20</x:v>
      </x:c>
      <x:c r="M39" s="48" t="str">
        <x:v>Hristo</x:v>
      </x:c>
      <x:c r="N39" s="58" t="n">
        <x:v>46302</x:v>
      </x:c>
      <x:c r="O39" s="54" t="str"/>
    </x:row>
    <x:row r="40" ht="76" customHeight="1">
      <x:c r="A40" s="44" t="str">
        <x:v>WEB-032</x:v>
      </x:c>
      <x:c r="B40" s="44" t="str">
        <x:v>LIVE</x:v>
      </x:c>
      <x:c r="C40" s="44" t="str">
        <x:v>P0 - Critical</x:v>
      </x:c>
      <x:c r="D40" s="44" t="str">
        <x:v>Production has no DEV / mock UI</x:v>
      </x:c>
      <x:c r="E40" s="48" t="str">
        <x:v>Pass</x:v>
      </x:c>
      <x:c r="F40" s="48" t="str">
        <x:v>PREVIOUS RESULT: Pass. On LIVE, Ctrl+Shift+A did not reveal a website Ad Dev panel; Ctrl+Shift+D on the loaded Orbit iframe did not reveal a game DEV panel. Build guard also passed.
NEW RESULT: PASS; COMPLETED.
REASON: FocusedbothLIVEgamesviaordinaryPlay/Resume/Pause, triedCtrlShiftDandCtrlShiftA; noDEVpanels/badges/mockbanner/courtesy/WhyAdsorWatchrefill. OrbitpermanentNullresultpreviouslynoRevive; normalproductioncontrolswork.
SCOPE: LIVE HTTPS
V3: Pass; retained V2 evidence, not rerun. 
Session: V2-LIVE; scope: LIVE HTTPS. See QA_FINALIZATION_V3_JOURNAL.json#WEB-032 and HANDOFF_AND_FIX_QUEUE.md.
Retained prior verified evidence — not rerun in Final AI pass.</x:v>
      </x:c>
      <x:c r="G40" s="44" t="str">
        <x:v>Null production; absence is a PASS.</x:v>
      </x:c>
      <x:c r="H40" s="44" t="str">
        <x:v>Try Ctrl+Shift+A and focus each game then Ctrl+Shift+D; look for badges, mock banners and mock-reward CTAs.</x:v>
      </x:c>
      <x:c r="I40" s="44" t="str">
        <x:v>No Odesos/game DEV panels, mock ad screens, mock banners, Why Ads mock panels or unavailable reward-ad CTAs on LIVE.</x:v>
      </x:c>
      <x:c r="J40" s="48" t="str">
        <x:v>C:/Users/mlgjm/OneDrive/Desktop/GameWebsite/outputs/qa-recovery-v2/QA_Evidence/live-no-dev-shortcuts-v2.txt; C:/Users/mlgjm/OneDrive/Desktop/GameWebsite/outputs/qa-recovery-v2/QA_Evidence/live-orbit-menu-v2.txt; historical: C:/Users/mlgjm/OneDrive/Desktop/GameWebsite/outputs/qa-20261006/QA_Evidence/notes/browser-observations.md; V3 journal: C:/Users/mlgjm/OneDrive/Desktop/GameWebsite/outputs/qa-finalization-v3/QA_FINALIZATION_V3_JOURNAL.json#WEB-032</x:v>
      </x:c>
      <x:c r="K40" s="48"/>
      <x:c r="L40" s="48" t="str">
        <x:v>V2-LIVE</x:v>
      </x:c>
      <x:c r="M40" s="48" t="str">
        <x:v>Codex QA</x:v>
      </x:c>
      <x:c r="N40" s="58" t="n">
        <x:v>46301</x:v>
      </x:c>
      <x:c r="O40" s="55" t="str"/>
    </x:row>
    <x:row r="41" ht="76" customHeight="1">
      <x:c r="A41" s="42" t="str">
        <x:v>WEB-033</x:v>
      </x:c>
      <x:c r="B41" s="42" t="str">
        <x:v>LIVE</x:v>
      </x:c>
      <x:c r="C41" s="42" t="str">
        <x:v>P0 - Critical</x:v>
      </x:c>
      <x:c r="D41" s="42" t="str">
        <x:v>Console / network baseline</x:v>
      </x:c>
      <x:c r="E41" s="48" t="str">
        <x:v>Pass</x:v>
      </x:c>
      <x:c r="F41" s="48" t="str">
        <x:v>PREVIOUS RESULT: Blocked. HUMAN / ENVIRONMENT FOLLOW-UP REQUIRED: Branded Page not found content rendered for a unique nonexistent LIVE route; browser tooling did not expose the HTTP response status, so the required 404 status is unconfirmed. Remaining acceptance criteria were not established in this browser session; complete on the specified supported device/profile or with the missing deterministic setup, then update from direct evidence.
NEW RESULT: NOT_EXECUTED; RUNNABLE.
REASON: Existing evidence needs a targeted comparison against all expected assertions; no V2 browser execution yet.
SCOPE: Historical evidence only; V2 not executed
V3: Blocked [TOOL_LIMITATION]. Proven already: No complete direct evidence; earlier notes retained above.
Remaining: Required assertions not yet fully verified: No attributable application-breaking errors or real ad/analytics traffic. Unattributed MutationObserver error is investigated, not auto-ignored. Procedure: Clear Console and Network, reload home and both games; save new errors with source/stack.
Specific reason: Current browser tools do not provide the required full browser console/network, zoom, engine or accessibility capability.
Attempted this run: no. Owner: Engineer. Next step: Establish the specific required fixture/tool/runtime, then Human tester executes: Required assertions not yet fully verified: No attributable application-breaking errors or real ad/analytics traffic. Unattributed MutationObserver error is investigated, not auto-ignored. Procedure: Clear Console and Network, reload home and both games; save new errors with source/stack.
Session: S04; scope: Historical evidence only; V2 not executed. See QA_FINALIZATION_V3_JOURNAL.json#WEB-033 and HANDOFF_AND_FIX_QUEUE.md.
FINAL AI 4B.2 (2026-10-07): BLOCKED — HUMAN TESTING REQUIRED [ENGINEERING_ACCESS].
Why AI did not finish: The required isolated profile, controlled storage fixture, cache-disable/deployment inspection or attributed console/network surface is unavailable. One capability inventory/readiness check was sufficient; no repeated unsupported attempts.
AI already proved: No complete independent evidence for the remaining assertions; historical observations remain in the workbook.
Remaining: No attributable application-breaking errors or real ad/analytics traffic. Unattributed MutationObserver error is investigated, not auto-ignored. Procedure: Clear Console and Network, reload home and both games; save new errors with source/stack.
Human action (HQA-10): 1. Use LIVE; Engineer with native browser DevTools and GitHub Actions deployment read access. 2. Use normal clean browser profile; evidence required for errors. 3. Execute only the remaining assertion: No attributable application-breaking errors or real ad/analytics traffic. Unattributed MutationObserver error is investigated, not auto-ignored. Procedure: Clear Console and Network, reload home and both games; save new errors with source/stack.
Expected: No attributable application-breaking errors or real ad/analytics traffic. Unattributed MutationObserver error is investigated, not auto-ignored.
Capture: Pass/Fail per ID, screenshot or timestamped video/state snapshot, device/OS/browser versions, viewport/zoom/DPR and a note; compare prior evidence instead of repeating proven subassertions.
Session/evidence: S17; Historical evidence retained; no fresh case execution claimed. Full grouped instructions: HUMAN_QA_FINAL.md#hqa-10.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41" s="42" t="str">
        <x:v>Use normal clean browser profile; evidence required for errors.</x:v>
      </x:c>
      <x:c r="H41" s="42" t="str">
        <x:v>Clear Console and Network, reload home and both games; save new errors with source/stack.</x:v>
      </x:c>
      <x:c r="I41" s="42" t="str">
        <x:v>No attributable application-breaking errors or real ad/analytics traffic. Unattributed MutationObserver error is investigated, not auto-ignored.</x:v>
      </x:c>
      <x:c r="J41" s="48" t="str">
        <x:v>C:/Users/mlgjm/OneDrive/Desktop/GameWebsite/outputs/qa-20261006/QA_Evidence/notes/browser-observations.md; V3 journal: C:/Users/mlgjm/OneDrive/Desktop/GameWebsite/outputs/qa-finalization-v3/QA_FINALIZATION_V3_JOURNAL.json#WEB-033
Human QA completion statement, 2026-10-07; prior AI evidence retained.</x:v>
      </x:c>
      <x:c r="K41" s="48"/>
      <x:c r="L41" s="48" t="str">
        <x:v>S20</x:v>
      </x:c>
      <x:c r="M41" s="48" t="str">
        <x:v>Hristo</x:v>
      </x:c>
      <x:c r="N41" s="58" t="n">
        <x:v>46302</x:v>
      </x:c>
      <x:c r="O41" s="54" t="str"/>
    </x:row>
    <x:row r="42" ht="76" customHeight="1">
      <x:c r="A42" s="44" t="str">
        <x:v>WEB-034</x:v>
      </x:c>
      <x:c r="B42" s="44" t="str">
        <x:v>LIVE</x:v>
      </x:c>
      <x:c r="C42" s="44" t="str">
        <x:v>P2 - Polish</x:v>
      </x:c>
      <x:c r="D42" s="44" t="str">
        <x:v>Player load/performance impression</x:v>
      </x:c>
      <x:c r="E42" s="48" t="str">
        <x:v>Pass</x:v>
      </x:c>
      <x:c r="F42" s="48" t="str">
        <x:v>PREVIOUS RESULT: Blocked. HUMAN TEST REQUIRED: evaluate loading/performance on a real low-end device; this host does not provide representative hardware.
NEW RESULT: NOT_EXECUTED; RUNNABLE.
REASON: Existing evidence needs a targeted comparison against all expected assertions; no V2 browser execution yet.
SCOPE: Historical evidence only; V2 not executed
V3: Blocked [HARDWARE_REQUIRED]. Proven already: No complete direct evidence; earlier notes retained above.
Remaining: Required assertions not yet fully verified: No unusable stall or runaway browser behavior. Subjective tuning is a separate note. Procedure: On a target low-end phone or throttled test, open both games; record loading delay/jank without inventing thresholds.
Specific reason: Target low-end phone or approved throttled profile is required; ordinary desktop loads cannot establish the specified performance impression.
Attempted this run: no. Owner: Human tester. Next step: Human tester executes in the case environment: Required assertions not yet fully verified: No unusable stall or runaway browser behavior. Subjective tuning is a separate note. Procedure: On a target low-end phone or throttled test, open both games; record loading delay/jank without inventing thresholds.
Session: S02; scope: Historical evidence only; V2 not executed. See QA_FINALIZATION_V3_JOURNAL.json#WEB-034 and HANDOFF_AND_FIX_QUEUE.md.
FINAL AI 4B.2 (2026-10-07): BLOCKED — HUMAN TESTING REQUIRED [HUMAN_JUDGMENT].
Why AI did not finish: Human visual/game-feel/device-performance judgment or first-paint video is required.
AI already proved: No complete independent evidence for the remaining assertions; historical observations remain in the workbook.
Remaining: No unusable stall or runaway browser behavior. Subjective tuning is a separate note. Procedure: On a target low-end phone or throttled test, open both games; record loading delay/jank without inventing thresholds.
Human action (HQA-06): 1. Use LIVE; Human player on desktop and physical phone; record difficulty, viewport and device. 2. Separate physical-device observation from emulation. 3. Execute only the remaining assertion: No unusable stall or runaway browser behavior. Subjective tuning is a separate note. Procedure: On a target low-end phone or throttled test, open both games; record loading delay/jank without inventing thresholds.
Expected: No unusable stall or runaway browser behavior. Subjective tuning is a separate note.
Capture: Pass/Fail per ID, screenshot or timestamped video/state snapshot, device/OS/browser versions, viewport/zoom/DPR and a note; compare prior evidence instead of repeating proven subassertions.
Session/evidence: S17; Historical evidence retained; no fresh case execution claimed. Full grouped instructions: HUMAN_QA_FINAL.md#hqa-06.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42" s="44" t="str">
        <x:v>Separate physical-device observation from emulation.</x:v>
      </x:c>
      <x:c r="H42" s="44" t="str">
        <x:v>On a target low-end phone or throttled test, open both games; record loading delay/jank without inventing thresholds.</x:v>
      </x:c>
      <x:c r="I42" s="44" t="str">
        <x:v>No unusable stall or runaway browser behavior. Subjective tuning is a separate note.</x:v>
      </x:c>
      <x:c r="J42" s="48" t="str">
        <x:v>C:/Users/mlgjm/OneDrive/Desktop/GameWebsite/outputs/qa-20261006/QA_Evidence/notes/browser-observations.md; V3 journal: C:/Users/mlgjm/OneDrive/Desktop/GameWebsite/outputs/qa-finalization-v3/QA_FINALIZATION_V3_JOURNAL.json#WEB-034
Human QA completion statement, 2026-10-07; prior AI evidence retained.</x:v>
      </x:c>
      <x:c r="K42" s="48"/>
      <x:c r="L42" s="48" t="str">
        <x:v>S21</x:v>
      </x:c>
      <x:c r="M42" s="48" t="str">
        <x:v>Hristo</x:v>
      </x:c>
      <x:c r="N42" s="58" t="n">
        <x:v>46302</x:v>
      </x:c>
      <x:c r="O42" s="55" t="str"/>
    </x:row>
  </x:sheetData>
  <x:mergeCells>
    <x:mergeCell ref="A1:O2"/>
    <x:mergeCell ref="A3:O3"/>
    <x:mergeCell ref="A4:O4"/>
  </x:mergeCells>
  <x:conditionalFormatting sqref="E9:E42">
    <x:cfRule type="expression" dxfId="0" priority="1">
      <x:formula>$E9="Not run"</x:formula>
    </x:cfRule>
    <x:cfRule type="expression" dxfId="1" priority="2">
      <x:formula>$E9="In progress"</x:formula>
    </x:cfRule>
    <x:cfRule type="expression" dxfId="2" priority="3">
      <x:formula>$E9="Pass"</x:formula>
    </x:cfRule>
    <x:cfRule type="expression" dxfId="3" priority="4">
      <x:formula>$E9="Fail"</x:formula>
    </x:cfRule>
    <x:cfRule type="expression" dxfId="4" priority="5">
      <x:formula>$E9="Blocked"</x:formula>
    </x:cfRule>
    <x:cfRule type="expression" dxfId="5" priority="6">
      <x:formula>$E9="Retest due"</x:formula>
    </x:cfRule>
    <x:cfRule type="expression" dxfId="6" priority="7">
      <x:formula>$E9="N/A"</x:formula>
    </x:cfRule>
  </x:conditionalFormatting>
  <x:conditionalFormatting sqref="C9:C42">
    <x:cfRule type="expression" dxfId="7" priority="8">
      <x:formula>$C9="P0 - Critical"</x:formula>
    </x:cfRule>
  </x:conditionalFormatting>
  <x:dataValidations count="3">
    <x:dataValidation type="list" sqref="E9:E42">
      <x:formula1>"Not run,In progress,Pass,Fail,Blocked,Retest due,N/A"</x:formula1>
    </x:dataValidation>
    <x:dataValidation type="list" sqref="C9:C42">
      <x:formula1>"P0 - Critical,P1 - Required,P2 - Polish"</x:formula1>
    </x:dataValidation>
    <x:dataValidation type="list" sqref="L9:L42">
      <x:formula1>'Sessions'!$A$9:$A$38</x:formula1>
    </x:dataValidation>
  </x:dataValidations>
  <x:pageMargins left="0.7" right="0.7" top="0.75" bottom="0.75" header="0.3" footer="0.3"/>
  <x:tableParts count="1">
    <x:tablePart xmlns:r="http://schemas.openxmlformats.org/officeDocument/2006/relationships" r:id="Rf6ed0486e5634c0a"/>
  </x:tableParts>
</x:worksheet>
</file>

<file path=xl/worksheets/sheet5.xml><?xml version="1.0" encoding="utf-8"?>
<x:worksheet xmlns:x="http://schemas.openxmlformats.org/spreadsheetml/2006/main">
  <x:sheetFormatPr defaultRowHeight="15"/>
  <x:cols>
    <x:col min="1" max="1" width="13" hidden="0" customWidth="1"/>
    <x:col min="2" max="2" width="20" hidden="0" customWidth="1"/>
    <x:col min="3" max="3" width="19" hidden="0" customWidth="1"/>
    <x:col min="4" max="4" width="36" hidden="0" customWidth="1"/>
    <x:col min="5" max="5" width="18" hidden="0" customWidth="1"/>
    <x:col min="6" max="6" width="38" hidden="0" customWidth="1"/>
    <x:col min="7" max="7" width="36" hidden="0" customWidth="1"/>
    <x:col min="8" max="8" width="40" hidden="0" customWidth="1"/>
    <x:col min="9" max="9" width="40" hidden="0" customWidth="1"/>
    <x:col min="10" max="10" width="28" hidden="0" customWidth="1"/>
    <x:col min="11" max="11" width="16" hidden="0" customWidth="1"/>
    <x:col min="12" max="12" width="15" hidden="0" customWidth="1"/>
    <x:col min="13" max="13" width="18" hidden="0" customWidth="1"/>
    <x:col min="14" max="14" width="14" hidden="0" customWidth="1"/>
    <x:col min="15" max="15" width="35" hidden="0" customWidth="1"/>
  </x:cols>
  <x:sheetData>
    <x:row r="1">
      <x:c r="A1" s="14" t="str">
        <x:v>ORBIT PUBLIC | PRODUCT QA</x:v>
      </x:c>
      <x:c r="B1" s="14"/>
      <x:c r="C1" s="14"/>
      <x:c r="D1" s="14"/>
      <x:c r="E1" s="14"/>
      <x:c r="F1" s="14"/>
      <x:c r="G1" s="14"/>
      <x:c r="H1" s="14"/>
      <x:c r="I1" s="14"/>
      <x:c r="J1" s="14"/>
      <x:c r="K1" s="14"/>
      <x:c r="L1" s="14"/>
      <x:c r="M1" s="14"/>
      <x:c r="N1" s="14"/>
      <x:c r="O1" s="14"/>
    </x:row>
    <x:row r="2">
      <x:c r="A2" s="14"/>
      <x:c r="B2" s="14"/>
      <x:c r="C2" s="14"/>
      <x:c r="D2" s="14"/>
      <x:c r="E2" s="14"/>
      <x:c r="F2" s="14"/>
      <x:c r="G2" s="14"/>
      <x:c r="H2" s="14"/>
      <x:c r="I2" s="14"/>
      <x:c r="J2" s="14"/>
      <x:c r="K2" s="14"/>
      <x:c r="L2" s="14"/>
      <x:c r="M2" s="14"/>
      <x:c r="N2" s="14"/>
      <x:c r="O2" s="14"/>
    </x:row>
    <x:row r="3" ht="24" customHeight="1">
      <x:c r="A3" s="19" t="str">
        <x:v>Baseline 42e8b200 | 28 tests | No results pre-approved | P0/P1 must be resolved before product sign-off</x:v>
      </x:c>
      <x:c r="B3" s="19"/>
      <x:c r="C3" s="19"/>
      <x:c r="D3" s="19"/>
      <x:c r="E3" s="19"/>
      <x:c r="F3" s="19"/>
      <x:c r="G3" s="19"/>
      <x:c r="H3" s="19"/>
      <x:c r="I3" s="19"/>
      <x:c r="J3" s="19"/>
      <x:c r="K3" s="19"/>
      <x:c r="L3" s="19"/>
      <x:c r="M3" s="19"/>
      <x:c r="N3" s="19"/>
      <x:c r="O3" s="19"/>
    </x:row>
    <x:row r="4" ht="24" customHeight="1">
      <x:c r="A4" s="22" t="str">
        <x:v>Fill Status, Actual result, Evidence, Bug ID, Session, Tester and Date. Filters available on row 8. N/A needs a reason; missing hardware is Blocked.</x:v>
      </x:c>
      <x:c r="B4" s="22"/>
      <x:c r="C4" s="22"/>
      <x:c r="D4" s="22"/>
      <x:c r="E4" s="22"/>
      <x:c r="F4" s="22"/>
      <x:c r="G4" s="22"/>
      <x:c r="H4" s="22"/>
      <x:c r="I4" s="22"/>
      <x:c r="J4" s="22"/>
      <x:c r="K4" s="22"/>
      <x:c r="L4" s="22"/>
      <x:c r="M4" s="22"/>
      <x:c r="N4" s="22"/>
      <x:c r="O4" s="22"/>
    </x:row>
    <x:row r="5">
      <x:c r="A5" s="10"/>
      <x:c r="B5" s="10"/>
      <x:c r="C5" s="10"/>
      <x:c r="D5" s="10"/>
      <x:c r="E5" s="10"/>
      <x:c r="F5" s="10"/>
      <x:c r="G5" s="10"/>
      <x:c r="H5" s="10"/>
      <x:c r="I5" s="10"/>
      <x:c r="J5" s="10"/>
      <x:c r="K5" s="10"/>
      <x:c r="L5" s="10"/>
      <x:c r="M5" s="10"/>
      <x:c r="N5" s="10"/>
      <x:c r="O5" s="10"/>
    </x:row>
    <x:row r="6" ht="23" customHeight="1">
      <x:c r="A6" s="25" t="str">
        <x:v>TOTAL</x:v>
      </x:c>
      <x:c r="B6" s="25" t="n">
        <x:f>COUNTA(A9:A36)</x:f>
        <x:v>28</x:v>
      </x:c>
      <x:c r="C6" s="25" t="str">
        <x:v>PASS</x:v>
      </x:c>
      <x:c r="D6" s="25" t="n">
        <x:f>COUNTIF(E9:E36,"Pass")</x:f>
        <x:v>26</x:v>
      </x:c>
      <x:c r="E6" s="25" t="str">
        <x:v>FAIL</x:v>
      </x:c>
      <x:c r="F6" s="25" t="n">
        <x:f>COUNTIF(E9:E36,"Fail")</x:f>
        <x:v>1</x:v>
      </x:c>
      <x:c r="G6" s="25" t="str">
        <x:v>BLOCKED</x:v>
      </x:c>
      <x:c r="H6" s="25" t="n">
        <x:f>COUNTIF(E9:E36,"Blocked")</x:f>
        <x:v>0</x:v>
      </x:c>
      <x:c r="I6" s="25" t="str">
        <x:v>NOT RUN</x:v>
      </x:c>
      <x:c r="J6" s="25" t="n">
        <x:f>COUNTIF(E9:E36,"Not run")</x:f>
        <x:v>0</x:v>
      </x:c>
      <x:c r="K6" s="25" t="str">
        <x:v>EXECUTED</x:v>
      </x:c>
      <x:c r="L6" s="28" t="n">
        <x:f>IFERROR((COUNTIF(E9:E36,"Pass")+COUNTIF(E9:E36,"Fail")+COUNTIF(E9:E36,"N/A"))/COUNTA(A9:A36),0)</x:f>
        <x:v>1</x:v>
      </x:c>
      <x:c r="M6" s="10"/>
      <x:c r="N6" s="10"/>
      <x:c r="O6" s="10"/>
    </x:row>
    <x:row r="7">
      <x:c r="A7" s="10"/>
      <x:c r="B7" s="10"/>
      <x:c r="C7" s="10"/>
      <x:c r="D7" s="10"/>
      <x:c r="E7" s="10"/>
      <x:c r="F7" s="10"/>
      <x:c r="G7" s="10"/>
      <x:c r="H7" s="10"/>
      <x:c r="I7" s="10"/>
      <x:c r="J7" s="10"/>
      <x:c r="K7" s="10"/>
      <x:c r="L7" s="10"/>
      <x:c r="M7" s="10"/>
      <x:c r="N7" s="10"/>
      <x:c r="O7" s="10"/>
    </x:row>
    <x:row r="8" ht="32" customHeight="1">
      <x:c r="A8" s="33" t="str">
        <x:v>Test ID</x:v>
      </x:c>
      <x:c r="B8" s="33" t="str">
        <x:v>Environment</x:v>
      </x:c>
      <x:c r="C8" s="33" t="str">
        <x:v>Priority</x:v>
      </x:c>
      <x:c r="D8" s="33" t="str">
        <x:v>Test / feature</x:v>
      </x:c>
      <x:c r="E8" s="33" t="str">
        <x:v>Status</x:v>
      </x:c>
      <x:c r="F8" s="33" t="str">
        <x:v>Actual result / notes</x:v>
      </x:c>
      <x:c r="G8" s="33" t="str">
        <x:v>Setup / caution</x:v>
      </x:c>
      <x:c r="H8" s="33" t="str">
        <x:v>Steps to perform</x:v>
      </x:c>
      <x:c r="I8" s="33" t="str">
        <x:v>Expected result</x:v>
      </x:c>
      <x:c r="J8" s="33" t="str">
        <x:v>Evidence link / file</x:v>
      </x:c>
      <x:c r="K8" s="33" t="str">
        <x:v>Bug ID(s)</x:v>
      </x:c>
      <x:c r="L8" s="33" t="str">
        <x:v>Session ID</x:v>
      </x:c>
      <x:c r="M8" s="33" t="str">
        <x:v>Tester</x:v>
      </x:c>
      <x:c r="N8" s="33" t="str">
        <x:v>Test date</x:v>
      </x:c>
      <x:c r="O8" s="33" t="str">
        <x:v>Source / baseline reference</x:v>
      </x:c>
    </x:row>
    <x:row r="9" ht="76" customHeight="1">
      <x:c r="A9" s="42" t="str">
        <x:v>ORB-001</x:v>
      </x:c>
      <x:c r="B9" s="42" t="str">
        <x:v>LIVE</x:v>
      </x:c>
      <x:c r="C9" s="42" t="str">
        <x:v>P0 - Critical</x:v>
      </x:c>
      <x:c r="D9" s="42" t="str">
        <x:v>Menu and public HUD</x:v>
      </x:c>
      <x:c r="E9" s="48" t="str">
        <x:v>Pass</x:v>
      </x:c>
      <x:c r="F9" s="48" t="str">
        <x:v>PREVIOUS RESULT: Pass. Production menu displayed Orbit Break, level/XP, score, Stars, Quests, Locker and Scores. No mock-ad CTA appeared in the menu.
NEW RESULT: PASS; COMPLETED.
REASON: FreshLIVEHTTPSmenu readableHUDbest247/LV1/20XP10Starsafterlegitimateclaim; validQuests/Locker/Scores, normalPlay,noWhyAds/deadMockCTA.
SCOPE: LIVE HTTPS
V3: Pass; retained V2 evidence, not rerun. 
Session: V2-LIVE; scope: LIVE HTTPS. See QA_FINALIZATION_V3_JOURNAL.json#ORB-001 and HANDOFF_AND_FIX_QUEUE.md.
Retained prior verified evidence — not rerun in Final AI pass.</x:v>
      </x:c>
      <x:c r="G9" s="42"/>
      <x:c r="H9" s="42" t="str">
        <x:v>Open Orbit on LIVE; inspect PLAY, score/best, level/XP and Stars.</x:v>
      </x:c>
      <x:c r="I9" s="42" t="str">
        <x:v>Game starts in a readable menu with no dead mock-ad buttons.</x:v>
      </x:c>
      <x:c r="J9" s="48" t="str">
        <x:v>C:/Users/mlgjm/OneDrive/Desktop/GameWebsite/outputs/qa-recovery-v2/QA_Evidence/live-orbit-profile-quest-reload-v2.txt; C:/Users/mlgjm/OneDrive/Desktop/GameWebsite/outputs/qa-recovery-v2/QA_Evidence/live-orbit-menu-v2.txt; historical: C:/Users/mlgjm/OneDrive/Desktop/GameWebsite/outputs/qa-20261006/QA_Evidence/notes/browser-observations.md; V3 journal: C:/Users/mlgjm/OneDrive/Desktop/GameWebsite/outputs/qa-finalization-v3/QA_FINALIZATION_V3_JOURNAL.json#ORB-001</x:v>
      </x:c>
      <x:c r="K9" s="48"/>
      <x:c r="L9" s="48" t="str">
        <x:v>V2-LIVE</x:v>
      </x:c>
      <x:c r="M9" s="48" t="str">
        <x:v>Codex QA</x:v>
      </x:c>
      <x:c r="N9" s="58" t="n">
        <x:v>46301</x:v>
      </x:c>
      <x:c r="O9" s="54" t="str"/>
    </x:row>
    <x:row r="10" ht="76" customHeight="1">
      <x:c r="A10" s="44" t="str">
        <x:v>ORB-002</x:v>
      </x:c>
      <x:c r="B10" s="44" t="str">
        <x:v>LIVE</x:v>
      </x:c>
      <x:c r="C10" s="44" t="str">
        <x:v>P0 - Critical</x:v>
      </x:c>
      <x:c r="D10" s="44" t="str">
        <x:v>Start input paths</x:v>
      </x:c>
      <x:c r="E10" s="48" t="str">
        <x:v>Pass</x:v>
      </x:c>
      <x:c r="F10" s="48" t="str">
        <x:v>PREVIOUS RESULT: Pass. On isolated S04 localhost origin, started runs using PLAY, Space from the menu, and a canvas click; each entered active play.
NEW RESULT: PARTIAL; RUNNABLE.
REASON: Separate fresh LIVE reloads: PLAY, game-body Space and actual canvas click each started one active run. Additional Space kept run active and score progressing. Touch is separately physical; exact direction sign not observable from DOM and remains targeted screenshot check.
SCOPE: LIVE HTTPS
V3: Blocked [EVIDENCE_GAP]. Proven already: Separate fresh LIVE reloads: PLAY, game-body Space and actual canvas click each started one active run. Additional Space kept run active and score progressing. Touch is separately physical; exact direction sign not observable from DOM and remains targeted screenshot check.
Remaining: Direct visual reversal after each active start/input path; three desktop start paths already proven.
Specific reason: No complete scoped evidence for this case before the bounded V3 pass; retain existing observations and execute only the listed missing assertions.
Attempted this run: no. Owner: Human tester. Next step: Human tester executes in the case environment: Direct visual reversal after each active start/input path; three desktop start paths already proven.
Session: V2-LIVE; scope: LIVE HTTPS. See QA_FINALIZATION_V3_JOURNAL.json#ORB-002 and HANDOFF_AND_FIX_QUEUE.md.
FINAL AI 4B.2 (2026-10-07): BLOCKED — HUMAN TESTING REQUIRED [BUDGET / HUMAN QA HANDOFF].
Why AI did not finish: The bounded Final AI testing window did not complete the full compound scenario. This remains AI-suitable or mixed work, handed to Human QA rather than claiming all practical AI testing complete.
AI already proved: Retained earlier partial evidence: Separate fresh LIVE reloads: PLAY, game-body Space and actual canvas click each started one active run. Additional Space kept run active and score progressing. Touch is separately physical; exact direction sign not observable from DOM and remains targeted screenshot check.
Remaining: Direct visual reversal after each active start/input path; three desktop start paths already proven.
Human action (HQA-13): 1. Use LIVE; Disposable native browser profile on LIVE, keyboard/mouse; touch only where specified. 2. Create a disposable QA/profile when changing saved state; launch qa:dev or qa:preview for the specified local environment and use the actual printed URL. 3. Execute only the remaining assertion: Direct visual reversal after each active start/input path; three desktop start paths already proven.
Expected: All start paths work once. During active play those inputs reverse direction, not restart the run.
Capture: Pass/Fail per ID, screenshot or timestamped video/state snapshot, device/OS/browser versions, viewport/zoom/DPR and a note; compare prior evidence instead of repeating proven subassertions.
Session/evidence: S17; Historical evidence retained; no fresh case execution claimed. Full grouped instructions: HUMAN_QA_FINAL.md#hqa-13.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10" s="44"/>
      <x:c r="H10" s="44" t="str">
        <x:v>Start using PLAY, Space and canvas click/tap in separate runs.</x:v>
      </x:c>
      <x:c r="I10" s="44" t="str">
        <x:v>All start paths work once. During active play those inputs reverse direction, not restart the run.</x:v>
      </x:c>
      <x:c r="J10" s="48" t="str">
        <x:v>C:/Users/mlgjm/OneDrive/Desktop/GameWebsite/outputs/qa-recovery-v2/QA_Evidence/live-orbit-play-button-start.txt; C:/Users/mlgjm/OneDrive/Desktop/GameWebsite/outputs/qa-recovery-v2/QA_Evidence/live-orbit-space-start.txt; C:/Users/mlgjm/OneDrive/Desktop/GameWebsite/outputs/qa-recovery-v2/QA_Evidence/live-orbit-second-space-no-restart.txt; C:/Users/mlgjm/OneDrive/Desktop/GameWebsite/outputs/qa-recovery-v2/QA_Evidence/live-orbit-canvas-click-start.txt; historical: C:/Users/mlgjm/OneDrive/Desktop/GameWebsite/outputs/qa-20261006/QA_Evidence/notes/browser-observations.md; V3 journal: C:/Users/mlgjm/OneDrive/Desktop/GameWebsite/outputs/qa-finalization-v3/QA_FINALIZATION_V3_JOURNAL.json#ORB-002
Human QA completion statement, 2026-10-07; prior AI evidence retained.</x:v>
      </x:c>
      <x:c r="K10" s="48"/>
      <x:c r="L10" s="48" t="str">
        <x:v>S20</x:v>
      </x:c>
      <x:c r="M10" s="48" t="str">
        <x:v>Hristo</x:v>
      </x:c>
      <x:c r="N10" s="58" t="n">
        <x:v>46302</x:v>
      </x:c>
      <x:c r="O10" s="55" t="str"/>
    </x:row>
    <x:row r="11" ht="76" customHeight="1">
      <x:c r="A11" s="42" t="str">
        <x:v>ORB-003</x:v>
      </x:c>
      <x:c r="B11" s="42" t="str">
        <x:v>LIVE</x:v>
      </x:c>
      <x:c r="C11" s="42" t="str">
        <x:v>P0 - Critical</x:v>
      </x:c>
      <x:c r="D11" s="42" t="str">
        <x:v>One-action movement</x:v>
      </x:c>
      <x:c r="E11" s="48" t="str">
        <x:v>Pass</x:v>
      </x:c>
      <x:c r="F11" s="48" t="str">
        <x:v>PREVIOUS RESULT: Pass. On isolated S04, starting with Space from the menu and a canvas click both entered active play; a separate run paused with the score held steady.
NEW RESULT: PARTIAL; RUNNABLE.
REASON: LIVE keyboard and canvas actions operate during active run without restarting or creating an extra action; actual reversal direction and UI-click exclusion need visual motion comparison; real touch belongs to separate hardware row.
SCOPE: LIVE HTTPS
V3: Blocked [EVIDENCE_GAP]. Proven already: LIVE keyboard and canvas actions operate during active run without restarting or creating an extra action; actual reversal direction and UI-click exclusion need visual motion comparison; real touch belongs to separate hardware row.
Remaining: Visual reversal and UI-click exclusion from reversal; no-restart behavior already proven.
Specific reason: No complete scoped evidence for this case before the bounded V3 pass; retain existing observations and execute only the listed missing assertions.
Attempted this run: no. Owner: Human tester. Next step: Human tester executes in the case environment: Visual reversal and UI-click exclusion from reversal; no-restart behavior already proven.
Session: V2-LIVE; scope: LIVE HTTPS. See QA_FINALIZATION_V3_JOURNAL.json#ORB-003 and HANDOFF_AND_FIX_QUEUE.md.
FINAL AI 4B.2 (2026-10-07): BLOCKED — HUMAN TESTING REQUIRED [BUDGET / HUMAN QA HANDOFF].
Why AI did not finish: The bounded Final AI testing window did not complete the full compound scenario. This remains AI-suitable or mixed work, handed to Human QA rather than claiming all practical AI testing complete.
AI already proved: Retained earlier partial evidence: LIVE keyboard and canvas actions operate during active run without restarting or creating an extra action; actual reversal direction and UI-click exclusion need visual motion comparison; real touch belongs to separate hardware row.
Remaining: Visual reversal and UI-click exclusion from reversal; no-restart behavior already proven.
Human action (HQA-13): 1. Use LIVE; Disposable native browser profile on LIVE, keyboard/mouse; touch only where specified. 2. Create a disposable QA/profile when changing saved state; launch qa:dev or qa:preview for the specified local environment and use the actual printed URL. 3. Execute only the remaining assertion: Visual reversal and UI-click exclusion from reversal; no-restart behavior already proven.
Expected: Immediate direction reversal; no unintended shooting/extra action; UI clicks do not reverse.
Capture: Pass/Fail per ID, screenshot or timestamped video/state snapshot, device/OS/browser versions, viewport/zoom/DPR and a note; compare prior evidence instead of repeating proven subassertions.
Session/evidence: S17; Historical evidence retained; no fresh case execution claimed. Full grouped instructions: HUMAN_QA_FINAL.md#hqa-13.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11" s="42"/>
      <x:c r="H11" s="42" t="str">
        <x:v>Reverse repeatedly using keyboard, mouse and touch where available.</x:v>
      </x:c>
      <x:c r="I11" s="42" t="str">
        <x:v>Immediate direction reversal; no unintended shooting/extra action; UI clicks do not reverse.</x:v>
      </x:c>
      <x:c r="J11" s="48" t="str">
        <x:v>C:/Users/mlgjm/OneDrive/Desktop/GameWebsite/outputs/qa-recovery-v2/QA_Evidence/live-orbit-second-space-no-restart.txt; C:/Users/mlgjm/OneDrive/Desktop/GameWebsite/outputs/qa-recovery-v2/QA_Evidence/live-orbit-canvas-click-start.txt; historical: C:/Users/mlgjm/OneDrive/Desktop/GameWebsite/outputs/qa-20261006/QA_Evidence/notes/browser-observations.md; V3 journal: C:/Users/mlgjm/OneDrive/Desktop/GameWebsite/outputs/qa-finalization-v3/QA_FINALIZATION_V3_JOURNAL.json#ORB-003
Human QA completion statement, 2026-10-07; prior AI evidence retained.</x:v>
      </x:c>
      <x:c r="K11" s="48"/>
      <x:c r="L11" s="48" t="str">
        <x:v>S20</x:v>
      </x:c>
      <x:c r="M11" s="48" t="str">
        <x:v>Hristo</x:v>
      </x:c>
      <x:c r="N11" s="58" t="n">
        <x:v>46302</x:v>
      </x:c>
      <x:c r="O11" s="54" t="str"/>
    </x:row>
    <x:row r="12" ht="76" customHeight="1">
      <x:c r="A12" s="44" t="str">
        <x:v>ORB-004</x:v>
      </x:c>
      <x:c r="B12" s="44" t="str">
        <x:v>LIVE</x:v>
      </x:c>
      <x:c r="C12" s="44" t="str">
        <x:v>P1 - Required</x:v>
      </x:c>
      <x:c r="D12" s="44" t="str">
        <x:v>Score and difficulty progression</x:v>
      </x:c>
      <x:c r="E12" s="48" t="str">
        <x:v>Pass</x:v>
      </x:c>
      <x:c r="F12" s="48" t="str">
        <x:v>PREVIOUS RESULT: Pass. On isolated S04, score advanced and difficulty rose to 1.18 during play; HUD displayed the current score.
NEW RESULT: NOT_EXECUTED; RUNNABLE.
REASON: Existing evidence needs a targeted comparison against all expected assertions; no V2 browser execution yet.
SCOPE: Historical evidence only; V2 not executed
V3: Blocked [BUDGET_HANDOFF]. Proven already: No complete direct evidence; earlier notes retained above.
Remaining: Required assertions not yet fully verified: Score increases through a live run; progression functions without crash or stale HUD. Procedure: Survive long enough to observe score and increasing threat.
Specific reason: Not attempted/completed within this run's bounded execution budget. Not attempted/completed within this run's bounded execution budget. Not attempted/completed within this run's bounded execution budget. Not attempted/completed within this run's bounded execution budget. No complete scoped evidence for this case before the bounded V3 pass; retain existing observations and execute only the listed missing assertions.
Attempted this run: no. Owner: Human tester. Next step: Human tester executes in the case environment: Required assertions not yet fully verified: Score increases through a live run; progression functions without crash or stale HUD. Procedure: Survive long enough to observe score and increasing threat.
Session: S04; scope: Historical evidence only; V2 not executed. See QA_FINALIZATION_V3_JOURNAL.json#ORB-004 and HANDOFF_AND_FIX_QUEUE.md.
FINAL AI 4B.2 (2026-10-07): Pass. Fresh LIVE build 5e857a08 revision 7571df: actual PLAY progressed SCORE 2 → 74 → 107 with incoming projectile/warning visible. Pause froze the same score; no stale HUD or crash.
Session/evidence: S17; QA_Evidence/observations.json.</x:v>
      </x:c>
      <x:c r="G12" s="44" t="str">
        <x:v>Do not require final balance/fun approval.</x:v>
      </x:c>
      <x:c r="H12" s="44" t="str">
        <x:v>Survive long enough to observe score and increasing threat.</x:v>
      </x:c>
      <x:c r="I12" s="44" t="str">
        <x:v>Score increases through a live run; progression functions without crash or stale HUD.</x:v>
      </x:c>
      <x:c r="J12" s="48" t="str">
        <x:v>C:/Users/mlgjm/OneDrive/Desktop/GameWebsite/outputs/qa-20261006/QA_Evidence/notes/browser-observations.md; V3 journal: C:/Users/mlgjm/OneDrive/Desktop/GameWebsite/outputs/qa-finalization-v3/QA_FINALIZATION_V3_JOURNAL.json#ORB-004; FINAL AI: C:/Users/mlgjm/OneDrive/Desktop/GameWebsite/outputs/qa-final-ai/2026-10-07_000739/QA_Evidence/observations.json</x:v>
      </x:c>
      <x:c r="K12" s="48"/>
      <x:c r="L12" s="48" t="str">
        <x:v>S17</x:v>
      </x:c>
      <x:c r="M12" s="48" t="str">
        <x:v>Codex Final AI QA</x:v>
      </x:c>
      <x:c r="N12" s="58" t="n">
        <x:v>46301.8803125</x:v>
      </x:c>
      <x:c r="O12" s="55" t="str"/>
    </x:row>
    <x:row r="13" ht="76" customHeight="1">
      <x:c r="A13" s="42" t="str">
        <x:v>ORB-005</x:v>
      </x:c>
      <x:c r="B13" s="42" t="str">
        <x:v>LIVE</x:v>
      </x:c>
      <x:c r="C13" s="42" t="str">
        <x:v>P1 - Required</x:v>
      </x:c>
      <x:c r="D13" s="42" t="str">
        <x:v>Telegraph readability</x:v>
      </x:c>
      <x:c r="E13" s="48" t="str">
        <x:v>Pass</x:v>
      </x:c>
      <x:c r="F13" s="48" t="str">
        <x:v>PREVIOUS RESULT: Blocked. HUMAN TEST REQUIRED: Telegraph readability requires a controlled high-warning gameplay run; starting another run would add persistent profile history.
NEW RESULT: NOT_EXECUTED; RUNNABLE.
REASON: Existing evidence needs a targeted comparison against all expected assertions; no V2 browser execution yet.
SCOPE: Historical evidence only; V2 not executed
V3: Blocked [BUDGET_HANDOFF]. Proven already: No complete direct evidence; earlier notes retained above.
Remaining: Required assertions not yet fully verified: Warnings correspond to incoming attacks; no invisible hit or unreadable unavoidable overlay. Procedure: Watch warnings and arriving projectiles using default appearance.
Specific reason: Not attempted/completed within this run's bounded execution budget. Not attempted/completed within this run's bounded execution budget. Not attempted/completed within this run's bounded execution budget. Not attempted/completed within this run's bounded execution budget. No complete scoped evidence for this case before the bounded V3 pass; retain existing observations and execute only the listed missing assertions.
Attempted this run: no. Owner: Human tester. Next step: Human tester executes in the case environment: Required assertions not yet fully verified: Warnings correspond to incoming attacks; no invisible hit or unreadable unavoidable overlay. Procedure: Watch warnings and arriving projectiles using default appearance.
Session: S02; scope: Historical evidence only; V2 not executed. See QA_FINALIZATION_V3_JOURNAL.json#ORB-005 and HANDOFF_AND_FIX_QUEUE.md.
FINAL AI 4B.2 (2026-10-07): BLOCKED — HUMAN TESTING REQUIRED [HUMAN_JUDGMENT].
Why AI did not finish: Human visual/game-feel/device-performance judgment or first-paint video is required.
AI already proved: No complete independent evidence for the remaining assertions; historical observations remain in the workbook.
Remaining: Warnings correspond to incoming attacks; no invisible hit or unreadable unavoidable overlay. Procedure: Watch warnings and arriving projectiles using default appearance.
Human action (HQA-06): 1. Use LIVE; Human player on desktop and physical phone; record difficulty, viewport and device. 2. Create a disposable QA/profile when changing saved state; launch qa:dev or qa:preview for the specified local environment and use the actual printed URL. 3. Execute only the remaining assertion: Warnings correspond to incoming attacks; no invisible hit or unreadable unavoidable overlay. Procedure: Watch warnings and arriving projectiles using default appearance.
Expected: Warnings correspond to incoming attacks; no invisible hit or unreadable unavoidable overlay.
Capture: Pass/Fail per ID, screenshot or timestamped video/state snapshot, device/OS/browser versions, viewport/zoom/DPR and a note; compare prior evidence instead of repeating proven subassertions.
Session/evidence: S17; Historical evidence retained; no fresh case execution claimed. Full grouped instructions: HUMAN_QA_FINAL.md#hqa-06.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13" s="42"/>
      <x:c r="H13" s="42" t="str">
        <x:v>Watch warnings and arriving projectiles using default appearance.</x:v>
      </x:c>
      <x:c r="I13" s="42" t="str">
        <x:v>Warnings correspond to incoming attacks; no invisible hit or unreadable unavoidable overlay.</x:v>
      </x:c>
      <x:c r="J13" s="48" t="str">
        <x:v>C:/Users/mlgjm/OneDrive/Desktop/GameWebsite/outputs/qa-20261006/QA_Evidence/notes/browser-observations.md; V3 journal: C:/Users/mlgjm/OneDrive/Desktop/GameWebsite/outputs/qa-finalization-v3/QA_FINALIZATION_V3_JOURNAL.json#ORB-005
Human QA completion statement, 2026-10-07; prior AI evidence retained.</x:v>
      </x:c>
      <x:c r="K13" s="48"/>
      <x:c r="L13" s="48" t="str">
        <x:v>S20</x:v>
      </x:c>
      <x:c r="M13" s="48" t="str">
        <x:v>Hristo</x:v>
      </x:c>
      <x:c r="N13" s="58" t="n">
        <x:v>46302</x:v>
      </x:c>
      <x:c r="O13" s="54" t="str"/>
    </x:row>
    <x:row r="14" ht="76" customHeight="1">
      <x:c r="A14" s="44" t="str">
        <x:v>ORB-006</x:v>
      </x:c>
      <x:c r="B14" s="44" t="str">
        <x:v>LIVE</x:v>
      </x:c>
      <x:c r="C14" s="44" t="str">
        <x:v>P1 - Required</x:v>
      </x:c>
      <x:c r="D14" s="44" t="str">
        <x:v>Five formation families</x:v>
      </x:c>
      <x:c r="E14" s="48" t="str">
        <x:v>Pass</x:v>
      </x:c>
      <x:c r="F14" s="48" t="str">
        <x:v>PREVIOUS RESULT: Blocked. HUMAN TEST REQUIRED: Five-family formation verification needs a deterministic high-difficulty fixture or a disposable profile; a short natural run cannot prove each family.
NEW RESULT: NOT_EXECUTED; RUNNABLE.
REASON: Existing evidence needs a targeted comparison against all expected assertions; no V2 browser execution yet.
SCOPE: Historical evidence only; V2 not executed
V3: Blocked [BUDGET_HANDOFF]. Proven already: No complete direct evidence; earlier notes retained above.
Remaining: Required assertions not yet fully verified: Patterns exist and render/read correctly; difficulty balance concerns logged separately. Procedure: Observe Single, Double, Arrow, Line and Bombardment naturally; use DEV sheet for forced checks.
Specific reason: Not attempted/completed within this run's bounded execution budget. Not attempted/completed within this run's bounded execution budget. Not attempted/completed within this run's bounded execution budget. Not attempted/completed within this run's bounded execution budget. Natural progression or a continuous timed soak cannot be substituted by accumulated unrelated short tests; excluded from this bounded finalization budget.
Attempted this run: no. Owner: Human tester. Next step: Human tester executes in the case environment: Required assertions not yet fully verified: Patterns exist and render/read correctly; difficulty balance concerns logged separately. Procedure: Observe Single, Double, Arrow, Line and Bombardment naturally; use DEV sheet for forced checks.
Session: S02; scope: Historical evidence only; V2 not executed. See QA_FINALIZATION_V3_JOURNAL.json#ORB-006 and HANDOFF_AND_FIX_QUEUE.md.
FINAL AI 4B.2 (2026-10-07): BLOCKED — HUMAN TESTING REQUIRED [HUMAN_JUDGMENT].
Why AI did not finish: Human visual/game-feel/device-performance judgment or first-paint video is required.
AI already proved: No complete independent evidence for the remaining assertions; historical observations remain in the workbook.
Remaining: Patterns exist and render/read correctly; difficulty balance concerns logged separately. Procedure: Observe Single, Double, Arrow, Line and Bombardment naturally; use DEV sheet for forced checks.
Human action (HQA-06): 1. Use LIVE; Human player on desktop and physical phone; record difficulty, viewport and device. 2. A short run may not reach late tiers; do not mark absent without DEV verification. 3. Execute only the remaining assertion: Patterns exist and render/read correctly; difficulty balance concerns logged separately. Procedure: Observe Single, Double, Arrow, Line and Bombardment naturally; use DEV sheet for forced checks.
Expected: Patterns exist and render/read correctly; difficulty balance concerns logged separately.
Capture: Pass/Fail per ID, screenshot or timestamped video/state snapshot, device/OS/browser versions, viewport/zoom/DPR and a note; compare prior evidence instead of repeating proven subassertions.
Session/evidence: S17; Historical evidence retained; no fresh case execution claimed. Full grouped instructions: HUMAN_QA_FINAL.md#hqa-06.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14" s="44" t="str">
        <x:v>A short run may not reach late tiers; do not mark absent without DEV verification.</x:v>
      </x:c>
      <x:c r="H14" s="44" t="str">
        <x:v>Observe Single, Double, Arrow, Line and Bombardment naturally; use DEV sheet for forced checks.</x:v>
      </x:c>
      <x:c r="I14" s="44" t="str">
        <x:v>Patterns exist and render/read correctly; difficulty balance concerns logged separately.</x:v>
      </x:c>
      <x:c r="J14" s="48" t="str">
        <x:v>C:/Users/mlgjm/OneDrive/Desktop/GameWebsite/outputs/qa-20261006/QA_Evidence/notes/browser-observations.md; V3 journal: C:/Users/mlgjm/OneDrive/Desktop/GameWebsite/outputs/qa-finalization-v3/QA_FINALIZATION_V3_JOURNAL.json#ORB-006
Human QA completion statement, 2026-10-07; prior AI evidence retained.</x:v>
      </x:c>
      <x:c r="K14" s="48"/>
      <x:c r="L14" s="48" t="str">
        <x:v>S20</x:v>
      </x:c>
      <x:c r="M14" s="48" t="str">
        <x:v>Hristo</x:v>
      </x:c>
      <x:c r="N14" s="58" t="n">
        <x:v>46302</x:v>
      </x:c>
      <x:c r="O14" s="55" t="str"/>
    </x:row>
    <x:row r="15" ht="76" customHeight="1">
      <x:c r="A15" s="42" t="str">
        <x:v>ORB-007</x:v>
      </x:c>
      <x:c r="B15" s="42" t="str">
        <x:v>LIVE</x:v>
      </x:c>
      <x:c r="C15" s="42" t="str">
        <x:v>P0 - Critical</x:v>
      </x:c>
      <x:c r="D15" s="42" t="str">
        <x:v>Collision / result / restart</x:v>
      </x:c>
      <x:c r="E15" s="48" t="str">
        <x:v>Pass</x:v>
      </x:c>
      <x:c r="F15" s="48" t="str">
        <x:v>PREVIOUS RESULT: Pass. Reached SIGNAL LOST, selected RESTART, and observed a fresh active run; restart did not return to the prior run state.
NEW RESULT: PASS; COMPLETED.
REASON: LIVE natural collision ended at score207 with clear SIGNAL LOST / Your run is complete and no production revive CTA. Actual Restart created a new run at score0, paused immediately; best247, level1,20XP and10Stars preserved.
SCOPE: LIVE normal collision and player restart
V3: Pass; retained V2 evidence, not rerun. 
Session: V2-LIVE; scope: LIVE normal collision and player restart. See QA_FINALIZATION_V3_JOURNAL.json#ORB-007 and HANDOFF_AND_FIX_QUEUE.md.
Retained prior verified evidence — not rerun in Final AI pass.</x:v>
      </x:c>
      <x:c r="G15" s="42"/>
      <x:c r="H15" s="42" t="str">
        <x:v>Let an unprotected collision end a run; use RESTART.</x:v>
      </x:c>
      <x:c r="I15" s="42" t="str">
        <x:v>Game-over/result is clear; new run resets its temporary score/state once; saved profile remains.</x:v>
      </x:c>
      <x:c r="J15" s="48" t="str">
        <x:v>C:/Users/mlgjm/OneDrive/Desktop/GameWebsite/outputs/qa-recovery-v2/QA_Evidence/live-orbit-natural-collision-result.txt; C:/Users/mlgjm/OneDrive/Desktop/GameWebsite/outputs/qa-recovery-v2/QA_Evidence/live-orbit-natural-result-restart.txt; historical: C:/Users/mlgjm/OneDrive/Desktop/GameWebsite/outputs/qa-20261006/QA_Evidence/notes/browser-observations.md; V3 journal: C:/Users/mlgjm/OneDrive/Desktop/GameWebsite/outputs/qa-finalization-v3/QA_FINALIZATION_V3_JOURNAL.json#ORB-007</x:v>
      </x:c>
      <x:c r="K15" s="48"/>
      <x:c r="L15" s="48" t="str">
        <x:v>V2-LIVE</x:v>
      </x:c>
      <x:c r="M15" s="48" t="str">
        <x:v>Codex QA</x:v>
      </x:c>
      <x:c r="N15" s="58" t="n">
        <x:v>46301</x:v>
      </x:c>
      <x:c r="O15" s="54" t="str"/>
    </x:row>
    <x:row r="16" ht="76" customHeight="1">
      <x:c r="A16" s="44" t="str">
        <x:v>ORB-008</x:v>
      </x:c>
      <x:c r="B16" s="44" t="str">
        <x:v>LIVE</x:v>
      </x:c>
      <x:c r="C16" s="44" t="str">
        <x:v>P0 - Critical</x:v>
      </x:c>
      <x:c r="D16" s="44" t="str">
        <x:v>Pause freezes run</x:v>
      </x:c>
      <x:c r="E16" s="48" t="str">
        <x:v>Pass</x:v>
      </x:c>
      <x:c r="F16" s="48" t="str">
        <x:v>PREVIOUS RESULT: Pass. On isolated S04, paused at score 7; the score remained 7 immediately and after 1.8 seconds paused.
NEW RESULT: PASS; COMPLETED.
REASON: LIVE score2 held across hostControls/settings actions; resume advanced same unfinished run toscore without reset and re-paused. Difficulty internals not exposed by public HUD, but visible score/phase stable.
SCOPE: LIVE HTTPS
V3: Pass; retained V2 evidence, not rerun. 
Session: V2-LIVE; scope: LIVE HTTPS. See QA_FINALIZATION_V3_JOURNAL.json#ORB-008 and HANDOFF_AND_FIX_QUEUE.md.
Retained prior verified evidence — not rerun in Final AI pass.</x:v>
      </x:c>
      <x:c r="G16" s="44"/>
      <x:c r="H16" s="44" t="str">
        <x:v>Pause mid-run; note score; wait; resume.</x:v>
      </x:c>
      <x:c r="I16" s="44" t="str">
        <x:v>No score/difficulty/run progress during pause. Resume continues rather than starts another run.</x:v>
      </x:c>
      <x:c r="J16" s="48" t="str">
        <x:v>C:/Users/mlgjm/OneDrive/Desktop/GameWebsite/outputs/qa-recovery-v2/QA_Evidence/live-orbit-pause-before.txt; C:/Users/mlgjm/OneDrive/Desktop/GameWebsite/outputs/qa-recovery-v2/QA_Evidence/live-orbit-pause-after.txt; C:/Users/mlgjm/OneDrive/Desktop/GameWebsite/outputs/qa-recovery-v2/QA_Evidence/live-orbit-resume.txt; historical: C:/Users/mlgjm/OneDrive/Desktop/GameWebsite/outputs/qa-20261006/QA_Evidence/notes/browser-observations.md; V3 journal: C:/Users/mlgjm/OneDrive/Desktop/GameWebsite/outputs/qa-finalization-v3/QA_FINALIZATION_V3_JOURNAL.json#ORB-008</x:v>
      </x:c>
      <x:c r="K16" s="48"/>
      <x:c r="L16" s="48" t="str">
        <x:v>V2-LIVE</x:v>
      </x:c>
      <x:c r="M16" s="48" t="str">
        <x:v>Codex QA</x:v>
      </x:c>
      <x:c r="N16" s="58" t="n">
        <x:v>46301</x:v>
      </x:c>
      <x:c r="O16" s="55" t="str"/>
    </x:row>
    <x:row r="17" ht="76" customHeight="1">
      <x:c r="A17" s="42" t="str">
        <x:v>ORB-009</x:v>
      </x:c>
      <x:c r="B17" s="42" t="str">
        <x:v>LIVE</x:v>
      </x:c>
      <x:c r="C17" s="42" t="str">
        <x:v>P1 - Required</x:v>
      </x:c>
      <x:c r="D17" s="42" t="str">
        <x:v>Settings and mute</x:v>
      </x:c>
      <x:c r="E17" s="48" t="str">
        <x:v>N/A</x:v>
      </x:c>
      <x:c r="F17" s="48" t="str">
        <x:v>PREVIOUS RESULT: Blocked. HUMAN TEST REQUIRED: confirm the settings/mute controls by listening to game audio on a device with audio output.
NEW RESULT: NOT_EXECUTED; HUMAN_JUDGMENT_REQUIRED.
REASON: Audible sound/mute and duplicate audio require an audio listener.
SCOPE: Historical evidence only; V2 not executed
V3: Blocked [HUMAN_JUDGMENT]. Proven already: Audible sound/mute and duplicate audio require an audio listener.
Remaining: Required assertions not yet fully verified: Existing settings affect sound correctly and controls remain operable; no duplicate audio. Procedure: Pause; change master/music/SFX/mute; resume and test cues.
Specific reason: Audible sound/mute and duplicate audio require an audio listener.
Attempted this run: no. Owner: Human tester. Next step: Human tester executes in the case environment: Required assertions not yet fully verified: Existing settings affect sound correctly and controls remain operable; no duplicate audio. Procedure: Pause; change master/music/SFX/mute; resume and test cues.
Session: S02; scope: Historical evidence only; V2 not executed. See QA_FINALIZATION_V3_JOURNAL.json#ORB-009 and HANDOFF_AND_FIX_QUEUE.md.
FINAL AI 4B.2 (2026-10-07): BLOCKED — HUMAN TESTING REQUIRED [HUMAN_JUDGMENT].
Why AI did not finish: Audible quality, balance, duplication and restoration require human hearing; observable UI/state evidence is retained.
AI already proved: Settings master70/music100/SFX100 and MUTE toggled checked/unchecked through actual UI; restored original unmuted setting.
Remaining: Human must hear all channels/cues after changing sliders and resuming; verify no duplicated audio.
Human action (HQA-05): 1. Use LIVE; Headphones/speakers, native Chrome/Edge and at least one physical mobile browser. 2. Use audible listening, not just slider motion. 3. Execute only the remaining assertion: Human must hear all channels/cues after changing sliders and resuming; verify no duplicated audio.
Expected: Existing settings affect sound correctly and controls remain operable; no duplicate audio.
Capture: Pass/Fail per ID, screenshot or timestamped video/state snapshot, device/OS/browser versions, viewport/zoom/DPR and a note; compare prior evidence instead of repeating proven subassertions.
Session/evidence: S17; QA_Evidence/observations.json. Full grouped instructions: HUMAN_QA_FINAL.md#hqa-05. Historical Bug IDs are retained links, not current confirmed dependencies unless explicitly stated.
FINAL HUMAN QA (2026-10-07): N/A — audible acceptance is intentionally deferred because the current games do not yet have the final audio implementation to certify. Hristo explicitly approved audio-owned cases as N/A, with a separate dedicated Audio QA pass required later.</x:v>
      </x:c>
      <x:c r="G17" s="42" t="str">
        <x:v>Use audible listening, not just slider motion.</x:v>
      </x:c>
      <x:c r="H17" s="42" t="str">
        <x:v>Pause; change master/music/SFX/mute; resume and test cues.</x:v>
      </x:c>
      <x:c r="I17" s="42" t="str">
        <x:v>Existing settings affect sound correctly and controls remain operable; no duplicate audio.</x:v>
      </x:c>
      <x:c r="J17" s="48" t="str">
        <x:v>C:/Users/mlgjm/OneDrive/Desktop/GameWebsite/outputs/qa-20261006/QA_Evidence/notes/browser-observations.md; V3 journal: C:/Users/mlgjm/OneDrive/Desktop/GameWebsite/outputs/qa-finalization-v3/QA_FINALIZATION_V3_JOURNAL.json#ORB-009; FINAL AI: C:/Users/mlgjm/OneDrive/Desktop/GameWebsite/outputs/qa-final-ai/2026-10-07_000739/QA_Evidence/observations.json
Owner-approved Human QA N/A decision, 2026-10-07; prior AI evidence retained.</x:v>
      </x:c>
      <x:c r="K17" s="48"/>
      <x:c r="L17" s="48" t="str">
        <x:v>S20</x:v>
      </x:c>
      <x:c r="M17" s="48" t="str">
        <x:v>Hristo</x:v>
      </x:c>
      <x:c r="N17" s="58" t="n">
        <x:v>46302</x:v>
      </x:c>
      <x:c r="O17" s="54" t="str"/>
    </x:row>
    <x:row r="18" ht="76" customHeight="1">
      <x:c r="A18" s="44" t="str">
        <x:v>ORB-010</x:v>
      </x:c>
      <x:c r="B18" s="44" t="str">
        <x:v>LIVE</x:v>
      </x:c>
      <x:c r="C18" s="44" t="str">
        <x:v>P1 - Required</x:v>
      </x:c>
      <x:c r="D18" s="44" t="str">
        <x:v>Main Menu confirmation</x:v>
      </x:c>
      <x:c r="E18" s="48" t="str">
        <x:v>Pass</x:v>
      </x:c>
      <x:c r="F18" s="48" t="str">
        <x:v>PREVIOUS RESULT: Pass. From the paused run, Main Menu opened an END RUN? confirmation. CANCEL returned to the pause screen; confirming END RUN returned to the menu.
NEW RESULT: PARTIAL; RUNNABLE.
REASON: LIVE Cancel returned paused run with same score; confirmENDRUN returned Orbit menu on same page. Exact once finalization counters not exposed/compared in public UI.
SCOPE: LIVE HTTPS
V3: Pass. LIVE paused score103; Cancel preserved paused score103. Confirm End Run returned Orbit menu on same route. Before six scores[247,207,75,56,21,5]; afterward seven[247,207,103,75,56,21,5], exactly one insertion103 and no duplicate. Confirmation disappears after finalization.
Session: V3-LIVE; scope: LIVE HTTPS; native in-app Chromium; V3 observed views. See QA_FINALIZATION_V3_JOURNAL.json#ORB-010 and HANDOFF_AND_FIX_QUEUE.md.
Retained prior verified evidence — not rerun in Final AI pass.</x:v>
      </x:c>
      <x:c r="G18" s="44"/>
      <x:c r="H18" s="44" t="str">
        <x:v>Pause; choose Main Menu; first cancel, then confirm.</x:v>
      </x:c>
      <x:c r="I18" s="44" t="str">
        <x:v>Cancel preserves run. Confirm returns within Orbit, not away from website, and finalizes only once.</x:v>
      </x:c>
      <x:c r="J18" s="48" t="str">
        <x:v>C:/Users/mlgjm/OneDrive/Desktop/GameWebsite/outputs/qa-recovery-v2/QA_Evidence/live-orbit-menu-cancel.txt; C:/Users/mlgjm/OneDrive/Desktop/GameWebsite/outputs/qa-recovery-v2/QA_Evidence/live-orbit-menu-confirm.txt; historical: C:/Users/mlgjm/OneDrive/Desktop/GameWebsite/outputs/qa-20261006/QA_Evidence/notes/browser-observations.md; NEW V3: C:/Users/mlgjm/OneDrive/Desktop/GameWebsite/outputs/qa-finalization-v3/QA_Evidence/orbit-abandon-scores-before.txt; C:/Users/mlgjm/OneDrive/Desktop/GameWebsite/outputs/qa-finalization-v3/QA_Evidence/orbit-abandon-paused.txt; C:/Users/mlgjm/OneDrive/Desktop/GameWebsite/outputs/qa-finalization-v3/QA_Evidence/orbit-abandon-cancel.txt; C:/Users/mlgjm/OneDrive/Desktop/GameWebsite/outputs/qa-finalization-v3/QA_Evidence/orbit-meta-returned-menu.txt; C:/Users/mlgjm/OneDrive/Desktop/GameWebsite/outputs/qa-finalization-v3/QA_Evidence/orbit-abandon-scores-after.txt; C:/Users/mlgjm/OneDrive/Desktop/GameWebsite/outputs/qa-finalization-v3/QA_Evidence/orbit-abandon-scores-after.png; V3 journal: C:/Users/mlgjm/OneDrive/Desktop/GameWebsite/outputs/qa-finalization-v3/QA_FINALIZATION_V3_JOURNAL.json#ORB-010</x:v>
      </x:c>
      <x:c r="K18" s="48"/>
      <x:c r="L18" s="48" t="str">
        <x:v>V3-LIVE</x:v>
      </x:c>
      <x:c r="M18" s="48" t="str">
        <x:v>Codex QA</x:v>
      </x:c>
      <x:c r="N18" s="58" t="n">
        <x:v>46301</x:v>
      </x:c>
      <x:c r="O18" s="55" t="str"/>
    </x:row>
    <x:row r="19" ht="76" customHeight="1">
      <x:c r="A19" s="42" t="str">
        <x:v>ORB-011</x:v>
      </x:c>
      <x:c r="B19" s="42" t="str">
        <x:v>LIVE</x:v>
      </x:c>
      <x:c r="C19" s="42" t="str">
        <x:v>P1 - Required</x:v>
      </x:c>
      <x:c r="D19" s="42" t="str">
        <x:v>Meta fade and access</x:v>
      </x:c>
      <x:c r="E19" s="48" t="str">
        <x:v>Pass</x:v>
      </x:c>
      <x:c r="F19" s="48" t="str">
        <x:v>PREVIOUS RESULT: Pass. Opened the Quests overlay from the public game menu and closed it; game menu remained accessible.
NEW RESULT: NOT_EXECUTED; RUNNABLE.
REASON: Existing evidence needs a targeted comparison against all expected assertions; no V2 browser execution yet.
SCOPE: Historical evidence only; V2 not executed
V3: Pass. LIVE menu Quest/Locker/Scores present; playing snapshot/screenshot hides all three while score2/HUD/Pause remain. After Cancel/End Run, meta buttons reappear in menu.
Session: V3-LIVE; scope: LIVE HTTPS; native in-app Chromium; V3 observed views. See QA_FINALIZATION_V3_JOURNAL.json#ORB-011 and HANDOFF_AND_FIX_QUEUE.md.
Retained prior verified evidence — not rerun in Final AI pass.</x:v>
      </x:c>
      <x:c r="G19" s="42"/>
      <x:c r="H19" s="42" t="str">
        <x:v>Start from menu and inspect Quests/Locker/Scores; return after death/menu.</x:v>
      </x:c>
      <x:c r="I19" s="42" t="str">
        <x:v>Meta entry controls fade out during play; required HUD remains; controls reappear in valid states.</x:v>
      </x:c>
      <x:c r="J19" s="48" t="str">
        <x:v>C:/Users/mlgjm/OneDrive/Desktop/GameWebsite/outputs/qa-20261006/QA_Evidence/notes/browser-observations.md; NEW V3: C:/Users/mlgjm/OneDrive/Desktop/GameWebsite/outputs/qa-finalization-v3/QA_Evidence/orbit-meta-playing.txt; C:/Users/mlgjm/OneDrive/Desktop/GameWebsite/outputs/qa-finalization-v3/QA_Evidence/orbit-meta-playing.png; C:/Users/mlgjm/OneDrive/Desktop/GameWebsite/outputs/qa-finalization-v3/QA_Evidence/orbit-meta-returned-menu.txt; C:/Users/mlgjm/OneDrive/Desktop/GameWebsite/outputs/qa-finalization-v3/QA_Evidence/orbit-abandon-scores-after.png; V3 journal: C:/Users/mlgjm/OneDrive/Desktop/GameWebsite/outputs/qa-finalization-v3/QA_FINALIZATION_V3_JOURNAL.json#ORB-011</x:v>
      </x:c>
      <x:c r="K19" s="48"/>
      <x:c r="L19" s="48" t="str">
        <x:v>V3-LIVE</x:v>
      </x:c>
      <x:c r="M19" s="48" t="str">
        <x:v>Codex QA</x:v>
      </x:c>
      <x:c r="N19" s="58" t="n">
        <x:v>46301</x:v>
      </x:c>
      <x:c r="O19" s="54" t="str"/>
    </x:row>
    <x:row r="20" ht="76" customHeight="1">
      <x:c r="A20" s="44" t="str">
        <x:v>ORB-012</x:v>
      </x:c>
      <x:c r="B20" s="44" t="str">
        <x:v>LIVE</x:v>
      </x:c>
      <x:c r="C20" s="44" t="str">
        <x:v>P1 - Required</x:v>
      </x:c>
      <x:c r="D20" s="44" t="str">
        <x:v>Popup close and input isolation</x:v>
      </x:c>
      <x:c r="E20" s="48" t="str">
        <x:v>Fail</x:v>
      </x:c>
      <x:c r="F20" s="48" t="str">
        <x:v>PREVIOUS RESULT: Pass. In isolated S04, Escape dismissed Locker, Quests and Scores overlays; each returned to the underlying menu without starting or changing a run.
NEW RESULT: PASS; COMPLETED.
REASON: Each LIVE Quests/Locker/Scores opens from validmenu, closeX tested and Escape returnsmenu without starting run. UIactions/categorystarwalletunchanged, focusreturnsiframe.
SCOPE: LIVE HTTPS
V3: Pass; retained V2 evidence, not rerun. 
Session: V2-LIVE; scope: LIVE HTTPS. See QA_FINALIZATION_V3_JOURNAL.json#ORB-012 and HANDOFF_AND_FIX_QUEUE.md.
Retained prior verified evidence — not rerun in Final AI pass.
FINAL HUMAN QA (2026-10-07): FAIL — after Orbit death/result UI appears, clicking/tapping the background can still trigger/start gameplay through the terminal overlay. Background gameplay input must be disabled while the terminal UI owns interaction. Bug: HQA-004.</x:v>
      </x:c>
      <x:c r="G20" s="44"/>
      <x:c r="H20" s="44" t="str">
        <x:v>Open Quests, Locker and Scores in valid states; use X and Escape.</x:v>
      </x:c>
      <x:c r="I20" s="44" t="str">
        <x:v>Each closes predictably; focus returns sensibly; clicks do not start/reverse through the panel.</x:v>
      </x:c>
      <x:c r="J20" s="48" t="str">
        <x:v>C:/Users/mlgjm/OneDrive/Desktop/GameWebsite/outputs/qa-recovery-v2/QA_Evidence/live-orbit-popup-dismissals.json; C:/Users/mlgjm/OneDrive/Desktop/GameWebsite/outputs/qa-recovery-v2/QA_Evidence/live-orbit-locker-categories.json; historical: C:/Users/mlgjm/OneDrive/Desktop/GameWebsite/outputs/qa-20261006/QA_Evidence/notes/browser-observations.md; V3 journal: C:/Users/mlgjm/OneDrive/Desktop/GameWebsite/outputs/qa-finalization-v3/QA_FINALIZATION_V3_JOURNAL.json#ORB-012
Human QA chat observations/screenshots, 2026-10-07; prior AI evidence retained.</x:v>
      </x:c>
      <x:c r="K20" s="48" t="str">
        <x:v>HQA-004</x:v>
      </x:c>
      <x:c r="L20" s="48" t="str">
        <x:v>S20</x:v>
      </x:c>
      <x:c r="M20" s="48" t="str">
        <x:v>Hristo</x:v>
      </x:c>
      <x:c r="N20" s="58" t="n">
        <x:v>46302</x:v>
      </x:c>
      <x:c r="O20" s="55" t="str"/>
    </x:row>
    <x:row r="21" ht="76" customHeight="1">
      <x:c r="A21" s="42" t="str">
        <x:v>ORB-013</x:v>
      </x:c>
      <x:c r="B21" s="42" t="str">
        <x:v>LIVE</x:v>
      </x:c>
      <x:c r="C21" s="42" t="str">
        <x:v>P1 - Required</x:v>
      </x:c>
      <x:c r="D21" s="42" t="str">
        <x:v>Five quest slots</x:v>
      </x:c>
      <x:c r="E21" s="48" t="str">
        <x:v>Pass</x:v>
      </x:c>
      <x:c r="F21" s="48" t="str">
        <x:v>PREVIOUS RESULT: Pass. Quests overlay displayed five distinct mission slots with progress and reward text.
NEW RESULT: PASS; COMPLETED.
REASON: LIVEfivequestslots showdistinctrepeatabletargets/progress and20XP10Starsperclaim; manualclaimreplacesoneslotwhileotherprogresspreserved.
SCOPE: LIVE HTTPS
V3: Pass; retained V2 evidence, not rerun. 
Session: V2-LIVE; scope: LIVE HTTPS. See QA_FINALIZATION_V3_JOURNAL.json#ORB-013 and HANDOFF_AND_FIX_QUEUE.md.
Retained prior verified evidence — not rerun in Final AI pass.</x:v>
      </x:c>
      <x:c r="G21" s="42"/>
      <x:c r="H21" s="42" t="str">
        <x:v>Open Quests before and after playing.</x:v>
      </x:c>
      <x:c r="I21" s="42" t="str">
        <x:v>Five repeatable slots with meaningful targets/progress and XP/Star reward disclosure.</x:v>
      </x:c>
      <x:c r="J21" s="48" t="str">
        <x:v>C:/Users/mlgjm/OneDrive/Desktop/GameWebsite/outputs/qa-recovery-v2/QA_Evidence/live-orbit-quest-before-claim.txt; C:/Users/mlgjm/OneDrive/Desktop/GameWebsite/outputs/qa-recovery-v2/QA_Evidence/live-orbit-quest-after-claim.txt; historical: C:/Users/mlgjm/OneDrive/Desktop/GameWebsite/outputs/qa-20261006/QA_Evidence/notes/browser-observations.md; V3 journal: C:/Users/mlgjm/OneDrive/Desktop/GameWebsite/outputs/qa-finalization-v3/QA_FINALIZATION_V3_JOURNAL.json#ORB-013</x:v>
      </x:c>
      <x:c r="K21" s="48"/>
      <x:c r="L21" s="48" t="str">
        <x:v>V2-LIVE</x:v>
      </x:c>
      <x:c r="M21" s="48" t="str">
        <x:v>Codex QA</x:v>
      </x:c>
      <x:c r="N21" s="58" t="n">
        <x:v>46301</x:v>
      </x:c>
      <x:c r="O21" s="54" t="str"/>
    </x:row>
    <x:row r="22" ht="76" customHeight="1">
      <x:c r="A22" s="44" t="str">
        <x:v>ORB-014</x:v>
      </x:c>
      <x:c r="B22" s="44" t="str">
        <x:v>LIVE</x:v>
      </x:c>
      <x:c r="C22" s="44" t="str">
        <x:v>P1 - Required</x:v>
      </x:c>
      <x:c r="D22" s="44" t="str">
        <x:v>Quest progress across runs</x:v>
      </x:c>
      <x:c r="E22" s="48" t="str">
        <x:v>Pass</x:v>
      </x:c>
      <x:c r="F22" s="48" t="str">
        <x:v>PREVIOUS RESULT: Pass. After two additional QA runs, the Complete 3 runs mission showed 2/3; after reloading the route it still showed 2/3.
NEW RESULT: PASS; COMPLETED.
REASON: LIVE completed formation/dodge progress survived between menu/run and reload; newReverse15 slot remains0 afterclaim, otherquest12/12retained.
SCOPE: LIVE HTTPS
V3: Pass; retained V2 evidence, not rerun. 
Session: V2-LIVE; scope: LIVE HTTPS. See QA_FINALIZATION_V3_JOURNAL.json#ORB-014 and HANDOFF_AND_FIX_QUEUE.md.
Retained prior verified evidence — not rerun in Final AI pass.</x:v>
      </x:c>
      <x:c r="G22" s="44" t="str">
        <x:v>No daily calendar reset was implemented.</x:v>
      </x:c>
      <x:c r="H22" s="44" t="str">
        <x:v>Progress a survive/score/reverse quest, end run, begin another and reload after progress is saved.</x:v>
      </x:c>
      <x:c r="I22" s="44" t="str">
        <x:v>Progress follows its defined cumulative/best-value semantics and survives between runs/reload.</x:v>
      </x:c>
      <x:c r="J22" s="48" t="str">
        <x:v>C:/Users/mlgjm/OneDrive/Desktop/GameWebsite/outputs/qa-recovery-v2/QA_Evidence/live-orbit-profile-quest-reload-v2.txt; historical: C:/Users/mlgjm/OneDrive/Desktop/GameWebsite/outputs/qa-20261006/QA_Evidence/notes/browser-observations.md; V3 journal: C:/Users/mlgjm/OneDrive/Desktop/GameWebsite/outputs/qa-finalization-v3/QA_FINALIZATION_V3_JOURNAL.json#ORB-014</x:v>
      </x:c>
      <x:c r="K22" s="48"/>
      <x:c r="L22" s="48" t="str">
        <x:v>V2-LIVE</x:v>
      </x:c>
      <x:c r="M22" s="48" t="str">
        <x:v>Codex QA</x:v>
      </x:c>
      <x:c r="N22" s="58" t="n">
        <x:v>46301</x:v>
      </x:c>
      <x:c r="O22" s="55" t="str"/>
    </x:row>
    <x:row r="23" ht="76" customHeight="1">
      <x:c r="A23" s="42" t="str">
        <x:v>ORB-015</x:v>
      </x:c>
      <x:c r="B23" s="42" t="str">
        <x:v>LIVE</x:v>
      </x:c>
      <x:c r="C23" s="42" t="str">
        <x:v>P0 - Critical</x:v>
      </x:c>
      <x:c r="D23" s="42" t="str">
        <x:v>Manual quest claim</x:v>
      </x:c>
      <x:c r="E23" s="48" t="str">
        <x:v>Pass</x:v>
      </x:c>
      <x:c r="F23" s="48" t="str">
        <x:v>PREVIOUS RESULT: Pass. Claimed a legitimately completed quest; the game displayed +20 XP and +10 Stars and HUD balances changed accordingly. XP/level/Stars were restored afterward.
NEW RESULT: PASS; COMPLETED.
REASON: Two legitimate completed quests remained unclaimed until explicit action. Double-click firstCLAIM awards exactly20XP10Stars once; replaces slot withReverse15at0; other completedquest remainsunclaimed.
SCOPE: LIVE HTTPS
V3: Pass; retained V2 evidence, not rerun. 
Session: V2-LIVE; scope: LIVE HTTPS. See QA_FINALIZATION_V3_JOURNAL.json#ORB-015 and HANDOFF_AND_FIX_QUEUE.md.
Retained prior verified evidence — not rerun in Final AI pass.</x:v>
      </x:c>
      <x:c r="G23" s="42"/>
      <x:c r="H23" s="42" t="str">
        <x:v>Complete a quest; inspect before claiming, then claim once.</x:v>
      </x:c>
      <x:c r="I23" s="42" t="str">
        <x:v>No invisible auto-claim; XP/Stars awarded once; slot replaced; double-click does not duplicate rewards.</x:v>
      </x:c>
      <x:c r="J23" s="48" t="str">
        <x:v>C:/Users/mlgjm/OneDrive/Desktop/GameWebsite/outputs/qa-recovery-v2/QA_Evidence/live-orbit-quest-before-claim.txt; C:/Users/mlgjm/OneDrive/Desktop/GameWebsite/outputs/qa-recovery-v2/QA_Evidence/live-orbit-quest-after-claim.txt; historical: C:/Users/mlgjm/OneDrive/Desktop/GameWebsite/outputs/qa-20261006/QA_Evidence/notes/browser-observations.md; V3 journal: C:/Users/mlgjm/OneDrive/Desktop/GameWebsite/outputs/qa-finalization-v3/QA_FINALIZATION_V3_JOURNAL.json#ORB-015</x:v>
      </x:c>
      <x:c r="K23" s="48"/>
      <x:c r="L23" s="48" t="str">
        <x:v>V2-LIVE</x:v>
      </x:c>
      <x:c r="M23" s="48" t="str">
        <x:v>Codex QA</x:v>
      </x:c>
      <x:c r="N23" s="58" t="n">
        <x:v>46301</x:v>
      </x:c>
      <x:c r="O23" s="54" t="str"/>
    </x:row>
    <x:row r="24" ht="76" customHeight="1">
      <x:c r="A24" s="44" t="str">
        <x:v>ORB-016</x:v>
      </x:c>
      <x:c r="B24" s="44" t="str">
        <x:v>LIVE</x:v>
      </x:c>
      <x:c r="C24" s="44" t="str">
        <x:v>P1 - Required</x:v>
      </x:c>
      <x:c r="D24" s="44" t="str">
        <x:v>Quest refresh</x:v>
      </x:c>
      <x:c r="E24" s="48" t="str">
        <x:v>Pass</x:v>
      </x:c>
      <x:c r="F24" s="48" t="str">
        <x:v>PREVIOUS RESULT: Pass. Quest refresh was exercised in the isolated test profile and completed quest slots rotated to a new mission; the separate Quest DEV template controls were restored after testing.
NEW RESULT: NOT_EXECUTED; RUNNABLE.
REASON: Existing evidence needs a targeted comparison against all expected assertions; no V2 browser execution yet.
SCOPE: Historical evidence only; V2 not executed
V3: Blocked [BUDGET_HANDOFF]. Proven already: No complete direct evidence; earlier notes retained above.
Remaining: Required assertions not yet fully verified: Replacement quests render and persist consistently; no immediate undeserved reward. Procedure: Refresh a slot and then all slots outside play.
Specific reason: Not attempted/completed within this run's bounded execution budget. Not attempted/completed within this run's bounded execution budget. Not attempted/completed within this run's bounded execution budget. Not attempted/completed within this run's bounded execution budget. No complete scoped evidence for this case before the bounded V3 pass; retain existing observations and execute only the listed missing assertions.
Attempted this run: no. Owner: Human tester. Next step: Human tester executes in the case environment: Required assertions not yet fully verified: Replacement quests render and persist consistently; no immediate undeserved reward. Procedure: Refresh a slot and then all slots outside play.
Session: S04; scope: Historical evidence only; V2 not executed. See QA_FINALIZATION_V3_JOURNAL.json#ORB-016 and HANDOFF_AND_FIX_QUEUE.md.
FINAL AI 4B.2 (2026-10-07): BLOCKED — HUMAN TESTING REQUIRED [BUDGET / HUMAN QA HANDOFF].
Why AI did not finish: The bounded Final AI testing window did not complete the full compound scenario. This remains AI-suitable or mixed work, handed to Human QA rather than claiming all practical AI testing complete.
AI already proved: No complete independent evidence for the remaining assertions; historical observations remain in the workbook.
Remaining: Replacement quests render and persist consistently; no immediate undeserved reward. Procedure: Refresh a slot and then all slots outside play.
Human action (HQA-13): 1. Use LIVE; Disposable native browser profile on LIVE, keyboard/mouse; touch only where specified. 2. Create a disposable QA/profile when changing saved state; launch qa:dev or qa:preview for the specified local environment and use the actual printed URL. 3. Execute only the remaining assertion: Replacement quests render and persist consistently; no immediate undeserved reward. Procedure: Refresh a slot and then all slots outside play.
Expected: Replacement quests render and persist consistently; no immediate undeserved reward.
Capture: Pass/Fail per ID, screenshot or timestamped video/state snapshot, device/OS/browser versions, viewport/zoom/DPR and a note; compare prior evidence instead of repeating proven subassertions.
Session/evidence: S17; Historical evidence retained; no fresh case execution claimed. Full grouped instructions: HUMAN_QA_FINAL.md#hqa-13.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24" s="44"/>
      <x:c r="H24" s="44" t="str">
        <x:v>Refresh a slot and then all slots outside play.</x:v>
      </x:c>
      <x:c r="I24" s="44" t="str">
        <x:v>Replacement quests render and persist consistently; no immediate undeserved reward.</x:v>
      </x:c>
      <x:c r="J24" s="48" t="str">
        <x:v>C:/Users/mlgjm/OneDrive/Desktop/GameWebsite/outputs/qa-20261006/QA_Evidence/notes/browser-observations.md; V3 journal: C:/Users/mlgjm/OneDrive/Desktop/GameWebsite/outputs/qa-finalization-v3/QA_FINALIZATION_V3_JOURNAL.json#ORB-016
Human QA completion statement, 2026-10-07; prior AI evidence retained.</x:v>
      </x:c>
      <x:c r="K24" s="48"/>
      <x:c r="L24" s="48" t="str">
        <x:v>S20</x:v>
      </x:c>
      <x:c r="M24" s="48" t="str">
        <x:v>Hristo</x:v>
      </x:c>
      <x:c r="N24" s="58" t="n">
        <x:v>46302</x:v>
      </x:c>
      <x:c r="O24" s="55" t="str"/>
    </x:row>
    <x:row r="25" ht="76" customHeight="1">
      <x:c r="A25" s="42" t="str">
        <x:v>ORB-017</x:v>
      </x:c>
      <x:c r="B25" s="42" t="str">
        <x:v>LIVE</x:v>
      </x:c>
      <x:c r="C25" s="42" t="str">
        <x:v>P1 - Required</x:v>
      </x:c>
      <x:c r="D25" s="42" t="str">
        <x:v>Level-up and XP overflow</x:v>
      </x:c>
      <x:c r="E25" s="48" t="str">
        <x:v>Pass</x:v>
      </x:c>
      <x:c r="F25" s="48" t="str">
        <x:v>PREVIOUS RESULT: Blocked. HUMAN TEST REQUIRED: XP overflow requires repeated quest claims or test XP actions that mutate saved progression; use a disposable profile.
NEW RESULT: NOT_EXECUTED; RUNNABLE.
REASON: Existing evidence needs a targeted comparison against all expected assertions; no V2 browser execution yet.
SCOPE: Historical evidence only; V2 not executed
V3: Blocked [BUDGET_HANDOFF]. Proven already: No complete direct evidence; earlier notes retained above.
Remaining: Required assertions not yet fully verified: Level rises with retained overflow; other quest progress is not reset; small feedback near XP bar. Procedure: Claim across a level threshold; inspect XP bar and remaining quest progress.
Specific reason: Not attempted/completed within this run's bounded execution budget. Not attempted/completed within this run's bounded execution budget. Not attempted/completed within this run's bounded execution budget. Not attempted/completed within this run's bounded execution budget. No complete scoped evidence for this case before the bounded V3 pass; retain existing observations and execute only the listed missing assertions.
Attempted this run: no. Owner: Human tester. Next step: Human tester executes in the case environment: Required assertions not yet fully verified: Level rises with retained overflow; other quest progress is not reset; small feedback near XP bar. Procedure: Claim across a level threshold; inspect XP bar and remaining quest progress.
Session: S02; scope: Historical evidence only; V2 not executed. See QA_FINALIZATION_V3_JOURNAL.json#ORB-017 and HANDOFF_AND_FIX_QUEUE.md.
FINAL AI 4B.2 (2026-10-07): BLOCKED — HUMAN TESTING REQUIRED [BUDGET / HUMAN QA HANDOFF].
Why AI did not finish: The bounded Final AI testing window did not complete the full compound scenario. This remains AI-suitable or mixed work, handed to Human QA rather than claiming all practical AI testing complete.
AI already proved: No complete independent evidence for the remaining assertions; historical observations remain in the workbook.
Remaining: Level rises with retained overflow; other quest progress is not reset; small feedback near XP bar. Procedure: Claim across a level threshold; inspect XP bar and remaining quest progress.
Human action (HQA-13): 1. Use LIVE; Disposable native browser profile on LIVE, keyboard/mouse; touch only where specified. 2. Use DEV preparation separately if needed. 3. Execute only the remaining assertion: Level rises with retained overflow; other quest progress is not reset; small feedback near XP bar. Procedure: Claim across a level threshold; inspect XP bar and remaining quest progress.
Expected: Level rises with retained overflow; other quest progress is not reset; small feedback near XP bar.
Capture: Pass/Fail per ID, screenshot or timestamped video/state snapshot, device/OS/browser versions, viewport/zoom/DPR and a note; compare prior evidence instead of repeating proven subassertions.
Session/evidence: S17; Historical evidence retained; no fresh case execution claimed. Full grouped instructions: HUMAN_QA_FINAL.md#hqa-13.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25" s="42" t="str">
        <x:v>Use DEV preparation separately if needed.</x:v>
      </x:c>
      <x:c r="H25" s="42" t="str">
        <x:v>Claim across a level threshold; inspect XP bar and remaining quest progress.</x:v>
      </x:c>
      <x:c r="I25" s="42" t="str">
        <x:v>Level rises with retained overflow; other quest progress is not reset; small feedback near XP bar.</x:v>
      </x:c>
      <x:c r="J25" s="48" t="str">
        <x:v>C:/Users/mlgjm/OneDrive/Desktop/GameWebsite/outputs/qa-20261006/QA_Evidence/notes/browser-observations.md; V3 journal: C:/Users/mlgjm/OneDrive/Desktop/GameWebsite/outputs/qa-finalization-v3/QA_FINALIZATION_V3_JOURNAL.json#ORB-017
Human QA completion statement, 2026-10-07; prior AI evidence retained.</x:v>
      </x:c>
      <x:c r="K25" s="48"/>
      <x:c r="L25" s="48" t="str">
        <x:v>S20</x:v>
      </x:c>
      <x:c r="M25" s="48" t="str">
        <x:v>Hristo</x:v>
      </x:c>
      <x:c r="N25" s="58" t="n">
        <x:v>46302</x:v>
      </x:c>
      <x:c r="O25" s="54" t="str"/>
    </x:row>
    <x:row r="26" ht="76" customHeight="1">
      <x:c r="A26" s="44" t="str">
        <x:v>ORB-018</x:v>
      </x:c>
      <x:c r="B26" s="44" t="str">
        <x:v>LIVE</x:v>
      </x:c>
      <x:c r="C26" s="44" t="str">
        <x:v>P1 - Required</x:v>
      </x:c>
      <x:c r="D26" s="44" t="str">
        <x:v>Stars and purchases</x:v>
      </x:c>
      <x:c r="E26" s="48" t="str">
        <x:v>Pass</x:v>
      </x:c>
      <x:c r="F26" s="48" t="str">
        <x:v>PREVIOUS RESULT: Blocked. HUMAN TEST REQUIRED: Stars/purchases change persistent wallet and cosmetics; use a disposable profile with reproducible starting balance.
NEW RESULT: NOT_EXECUTED; RUNNABLE.
REASON: Existing evidence needs a targeted comparison against all expected assertions; no V2 browser execution yet.
SCOPE: Historical evidence only; V2 not executed
V3: Blocked [BUDGET_HANDOFF]. Proven already: No complete direct evidence; earlier notes retained above.
Remaining: Required assertions not yet fully verified: Correct cost deducted once; insufficient funds do not unlock; wallet remains coherent. Procedure: Earn Stars, buy an affordable theme; compare before/after wallet.
Specific reason: Not attempted/completed within this run's bounded execution budget. Not attempted/completed within this run's bounded execution budget. Not attempted/completed within this run's bounded execution budget. Not attempted/completed within this run's bounded execution budget. No complete scoped evidence for this case before the bounded V3 pass; retain existing observations and execute only the listed missing assertions.
Attempted this run: no. Owner: Human tester. Next step: Human tester executes in the case environment: Required assertions not yet fully verified: Correct cost deducted once; insufficient funds do not unlock; wallet remains coherent. Procedure: Earn Stars, buy an affordable theme; compare before/after wallet.
Session: S02; scope: Historical evidence only; V2 not executed. See QA_FINALIZATION_V3_JOURNAL.json#ORB-018 and HANDOFF_AND_FIX_QUEUE.md.
FINAL AI 4B.2 (2026-10-07): BLOCKED — HUMAN TESTING REQUIRED [BUDGET / HUMAN QA HANDOFF].
Why AI did not finish: The bounded Final AI testing window did not complete the full compound scenario. This remains AI-suitable or mixed work, handed to Human QA rather than claiming all practical AI testing complete.
AI already proved: No complete independent evidence for the remaining assertions; historical observations remain in the workbook.
Remaining: Correct cost deducted once; insufficient funds do not unlock; wallet remains coherent. Procedure: Earn Stars, buy an affordable theme; compare before/after wallet.
Human action (HQA-13): 1. Use LIVE; Disposable native browser profile on LIVE, keyboard/mouse; touch only where specified. 2. Create a disposable QA/profile when changing saved state; launch qa:dev or qa:preview for the specified local environment and use the actual printed URL. 3. Execute only the remaining assertion: Correct cost deducted once; insufficient funds do not unlock; wallet remains coherent. Procedure: Earn Stars, buy an affordable theme; compare before/after wallet.
Expected: Correct cost deducted once; insufficient funds do not unlock; wallet remains coherent.
Capture: Pass/Fail per ID, screenshot or timestamped video/state snapshot, device/OS/browser versions, viewport/zoom/DPR and a note; compare prior evidence instead of repeating proven subassertions.
Session/evidence: S17; Historical evidence retained; no fresh case execution claimed. Full grouped instructions: HUMAN_QA_FINAL.md#hqa-13.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26" s="44"/>
      <x:c r="H26" s="44" t="str">
        <x:v>Earn Stars, buy an affordable theme; compare before/after wallet.</x:v>
      </x:c>
      <x:c r="I26" s="44" t="str">
        <x:v>Correct cost deducted once; insufficient funds do not unlock; wallet remains coherent.</x:v>
      </x:c>
      <x:c r="J26" s="48" t="str">
        <x:v>C:/Users/mlgjm/OneDrive/Desktop/GameWebsite/outputs/qa-20261006/QA_Evidence/notes/browser-observations.md; V3 journal: C:/Users/mlgjm/OneDrive/Desktop/GameWebsite/outputs/qa-finalization-v3/QA_FINALIZATION_V3_JOURNAL.json#ORB-018
Human QA completion statement, 2026-10-07; prior AI evidence retained.</x:v>
      </x:c>
      <x:c r="K26" s="48"/>
      <x:c r="L26" s="48" t="str">
        <x:v>S20</x:v>
      </x:c>
      <x:c r="M26" s="48" t="str">
        <x:v>Hristo</x:v>
      </x:c>
      <x:c r="N26" s="58" t="n">
        <x:v>46302</x:v>
      </x:c>
      <x:c r="O26" s="55" t="str"/>
    </x:row>
    <x:row r="27" ht="76" customHeight="1">
      <x:c r="A27" s="42" t="str">
        <x:v>ORB-019</x:v>
      </x:c>
      <x:c r="B27" s="42" t="str">
        <x:v>LIVE</x:v>
      </x:c>
      <x:c r="C27" s="42" t="str">
        <x:v>P1 - Required</x:v>
      </x:c>
      <x:c r="D27" s="42" t="str">
        <x:v>Locker four categories</x:v>
      </x:c>
      <x:c r="E27" s="48" t="str">
        <x:v>Pass</x:v>
      </x:c>
      <x:c r="F27" s="48" t="str">
        <x:v>PREVIOUS RESULT: Pass. Opened each of the four Locker categories independently; each tab became selected. Player-category items showed included, priced, level-gated and mystery states.
NEW RESULT: PASS; COMPLETED.
REASON: All four LIVE locker tabs change selected category; default equipped and wallet10 remain stable, no automatic purchase/equip.
SCOPE: LIVE HTTPS
V3: Pass; retained V2 evidence, not rerun. 
Session: V2-LIVE; scope: LIVE HTTPS. See QA_FINALIZATION_V3_JOURNAL.json#ORB-019 and HANDOFF_AND_FIX_QUEUE.md.
Retained prior verified evidence — not rerun in Final AI pass.</x:v>
      </x:c>
      <x:c r="G27" s="42"/>
      <x:c r="H27" s="42" t="str">
        <x:v>Open Player, Projectiles, Orbit/Core and Planet tabs; select independently.</x:v>
      </x:c>
      <x:c r="I27" s="42" t="str">
        <x:v>All four categories work; category changes do not accidentally purchase/equip unrelated assets.</x:v>
      </x:c>
      <x:c r="J27" s="48" t="str">
        <x:v>C:/Users/mlgjm/OneDrive/Desktop/GameWebsite/outputs/qa-recovery-v2/QA_Evidence/live-orbit-locker-categories.json; historical: C:/Users/mlgjm/OneDrive/Desktop/GameWebsite/outputs/qa-20261006/QA_Evidence/notes/browser-observations.md; V3 journal: C:/Users/mlgjm/OneDrive/Desktop/GameWebsite/outputs/qa-finalization-v3/QA_FINALIZATION_V3_JOURNAL.json#ORB-019</x:v>
      </x:c>
      <x:c r="K27" s="48"/>
      <x:c r="L27" s="48" t="str">
        <x:v>V2-LIVE</x:v>
      </x:c>
      <x:c r="M27" s="48" t="str">
        <x:v>Codex QA</x:v>
      </x:c>
      <x:c r="N27" s="58" t="n">
        <x:v>46301</x:v>
      </x:c>
      <x:c r="O27" s="54" t="str"/>
    </x:row>
    <x:row r="28" ht="76" customHeight="1">
      <x:c r="A28" s="44" t="str">
        <x:v>ORB-020</x:v>
      </x:c>
      <x:c r="B28" s="44" t="str">
        <x:v>LIVE</x:v>
      </x:c>
      <x:c r="C28" s="44" t="str">
        <x:v>P1 - Required</x:v>
      </x:c>
      <x:c r="D28" s="44" t="str">
        <x:v>Locked / mystery / level skins</x:v>
      </x:c>
      <x:c r="E28" s="48" t="str">
        <x:v>Pass</x:v>
      </x:c>
      <x:c r="F28" s="48" t="str">
        <x:v>PREVIOUS RESULT: Pass. At zero Stars, priced/mystery cosmetics showed disabled LOCKED controls. A temporary DEV unlock allowed equip/preview; after session reset the items were LOCKED again. Temporary price/level gates were restored.
NEW RESULT: PASS; COMPLETED.
REASON: LIVE PLAYER shows Stars50/300/900 locks with wallet10, Level5lock atLV1, mysteryhidden and appearance-only disclosure; no fabricated unlock.
SCOPE: LIVE HTTPS
V3: Pass; retained V2 evidence, not rerun. 
Session: V2-LIVE; scope: LIVE HTTPS. See QA_FINALIZATION_V3_JOURNAL.json#ORB-020 and HANDOFF_AND_FIX_QUEUE.md.
Retained prior verified evidence — not rerun in Final AI pass.</x:v>
      </x:c>
      <x:c r="G28" s="44" t="str">
        <x:v>DEV unlock preview checks are separate.</x:v>
      </x:c>
      <x:c r="H28" s="44" t="str">
        <x:v>Inspect locked and mystery themes; test earned level gates when feasible.</x:v>
      </x:c>
      <x:c r="I28" s="44" t="str">
        <x:v>Locks/mystery state match current requirements; no fabricated eligibility or permanent power advantage.</x:v>
      </x:c>
      <x:c r="J28" s="48" t="str">
        <x:v>C:/Users/mlgjm/OneDrive/Desktop/GameWebsite/outputs/qa-recovery-v2/QA_Evidence/live-orbit-locker-categories.json; historical: C:/Users/mlgjm/OneDrive/Desktop/GameWebsite/outputs/qa-20261006/QA_Evidence/notes/browser-observations.md; V3 journal: C:/Users/mlgjm/OneDrive/Desktop/GameWebsite/outputs/qa-finalization-v3/QA_FINALIZATION_V3_JOURNAL.json#ORB-020</x:v>
      </x:c>
      <x:c r="K28" s="48"/>
      <x:c r="L28" s="48" t="str">
        <x:v>V2-LIVE</x:v>
      </x:c>
      <x:c r="M28" s="48" t="str">
        <x:v>Codex QA</x:v>
      </x:c>
      <x:c r="N28" s="58" t="n">
        <x:v>46301</x:v>
      </x:c>
      <x:c r="O28" s="55" t="str"/>
    </x:row>
    <x:row r="29" ht="76" customHeight="1">
      <x:c r="A29" s="42" t="str">
        <x:v>ORB-021</x:v>
      </x:c>
      <x:c r="B29" s="42" t="str">
        <x:v>LIVE</x:v>
      </x:c>
      <x:c r="C29" s="42" t="str">
        <x:v>P1 - Required</x:v>
      </x:c>
      <x:c r="D29" s="42" t="str">
        <x:v>Mix and persist cosmetics</x:v>
      </x:c>
      <x:c r="E29" s="48" t="str">
        <x:v>Pass</x:v>
      </x:c>
      <x:c r="F29" s="48" t="str">
        <x:v>PREVIOUS RESULT: Blocked. HUMAN TEST REQUIRED: Cosmetic mixing/persistence changes saved equipment; verify in an isolated profile after preparing legitimate unlocks.
NEW RESULT: NOT_EXECUTED; RUNNABLE.
REASON: Existing evidence needs a targeted comparison against all expected assertions; no V2 browser execution yet.
SCOPE: Historical evidence only; V2 not executed
V3: Blocked [BUDGET_HANDOFF]. Proven already: No complete direct evidence; earlier notes retained above.
Remaining: Required assertions not yet fully verified: Mixed appearance persists on this origin and remains readable; no gameplay power alteration. Procedure: Equip different legitimately unlocked themes in categories; refresh.
Specific reason: Not attempted/completed within this run's bounded execution budget. Not attempted/completed within this run's bounded execution budget. Not attempted/completed within this run's bounded execution budget. Not attempted/completed within this run's bounded execution budget. No complete scoped evidence for this case before the bounded V3 pass; retain existing observations and execute only the listed missing assertions.
Attempted this run: no. Owner: Human tester. Next step: Human tester executes in the case environment: Required assertions not yet fully verified: Mixed appearance persists on this origin and remains readable; no gameplay power alteration. Procedure: Equip different legitimately unlocked themes in categories; refresh.
Session: S02; scope: Historical evidence only; V2 not executed. See QA_FINALIZATION_V3_JOURNAL.json#ORB-021 and HANDOFF_AND_FIX_QUEUE.md.
FINAL AI 4B.2 (2026-10-07): BLOCKED — HUMAN TESTING REQUIRED [BUDGET / HUMAN QA HANDOFF].
Why AI did not finish: The bounded Final AI testing window did not complete the full compound scenario. This remains AI-suitable or mixed work, handed to Human QA rather than claiming all practical AI testing complete.
AI already proved: No complete independent evidence for the remaining assertions; historical observations remain in the workbook.
Remaining: Mixed appearance persists on this origin and remains readable; no gameplay power alteration. Procedure: Equip different legitimately unlocked themes in categories; refresh.
Human action (HQA-13): 1. Use LIVE; Disposable native browser profile on LIVE, keyboard/mouse; touch only where specified. 2. Create a disposable QA/profile when changing saved state; launch qa:dev or qa:preview for the specified local environment and use the actual printed URL. 3. Execute only the remaining assertion: Mixed appearance persists on this origin and remains readable; no gameplay power alteration. Procedure: Equip different legitimately unlocked themes in categories; refresh.
Expected: Mixed appearance persists on this origin and remains readable; no gameplay power alteration.
Capture: Pass/Fail per ID, screenshot or timestamped video/state snapshot, device/OS/browser versions, viewport/zoom/DPR and a note; compare prior evidence instead of repeating proven subassertions.
Session/evidence: S17; Historical evidence retained; no fresh case execution claimed. Full grouped instructions: HUMAN_QA_FINAL.md#hqa-13.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29" s="42"/>
      <x:c r="H29" s="42" t="str">
        <x:v>Equip different legitimately unlocked themes in categories; refresh.</x:v>
      </x:c>
      <x:c r="I29" s="42" t="str">
        <x:v>Mixed appearance persists on this origin and remains readable; no gameplay power alteration.</x:v>
      </x:c>
      <x:c r="J29" s="48" t="str">
        <x:v>C:/Users/mlgjm/OneDrive/Desktop/GameWebsite/outputs/qa-20261006/QA_Evidence/notes/browser-observations.md; V3 journal: C:/Users/mlgjm/OneDrive/Desktop/GameWebsite/outputs/qa-finalization-v3/QA_FINALIZATION_V3_JOURNAL.json#ORB-021
Human QA completion statement, 2026-10-07; prior AI evidence retained.</x:v>
      </x:c>
      <x:c r="K29" s="48"/>
      <x:c r="L29" s="48" t="str">
        <x:v>S20</x:v>
      </x:c>
      <x:c r="M29" s="48" t="str">
        <x:v>Hristo</x:v>
      </x:c>
      <x:c r="N29" s="58" t="n">
        <x:v>46302</x:v>
      </x:c>
      <x:c r="O29" s="54" t="str"/>
    </x:row>
    <x:row r="30" ht="76" customHeight="1">
      <x:c r="A30" s="44" t="str">
        <x:v>ORB-022</x:v>
      </x:c>
      <x:c r="B30" s="44" t="str">
        <x:v>LIVE</x:v>
      </x:c>
      <x:c r="C30" s="44" t="str">
        <x:v>P1 - Required</x:v>
      </x:c>
      <x:c r="D30" s="44" t="str">
        <x:v>Local top ten</x:v>
      </x:c>
      <x:c r="E30" s="48" t="str">
        <x:v>Pass</x:v>
      </x:c>
      <x:c r="F30" s="48" t="str">
        <x:v>PREVIOUS RESULT: Pass. Isolated S04 Scores overlay displayed five saved runs in descending order (99, 73, 57, 56, 21); persistence beyond local browser storage was not asserted.
NEW RESULT: NOT_EXECUTED; RUNNABLE.
REASON: Existing evidence needs a targeted comparison against all expected assertions; no V2 browser execution yet.
SCOPE: Historical evidence only; V2 not executed
V3: Blocked [EVIDENCE_GAP]. Proven already: No complete direct evidence; earlier notes retained above. V3 observation: LIVE personal YOUR BEST RUNS sorted six entries, then seven with exactly one score103 added on End Run. No global ranking. Ten-entry truncation boundary not reached.
Remaining: Public list truncates correctly after more than ten qualifying completed runs; sorted personal/no duplicate terminal insertion already proven.
Specific reason: V3 completed the recorded subchecks; remaining assertion lacks direct scoped evidence within this bounded pass.
Attempted this run: yes. Owner: Human tester. Next step: Execute only: Public list truncates correctly after more than ten qualifying completed runs; sorted personal/no duplicate terminal insertion already proven.
Session: V3-LIVE; scope: LIVE HTTPS; native in-app Chromium; V3 observed views. See QA_FINALIZATION_V3_JOURNAL.json#ORB-022 and HANDOFF_AND_FIX_QUEUE.md.
FINAL AI 4B.2 (2026-10-07): BLOCKED — HUMAN TESTING REQUIRED [BUDGET / HUMAN QA HANDOFF].
Why AI did not finish: The bounded Final AI testing window did not complete the full compound scenario. This remains AI-suitable or mixed work, handed to Human QA rather than claiming all practical AI testing complete.
AI already proved: No complete independent evidence for the remaining assertions; historical observations remain in the workbook.
Remaining: Public list truncates correctly after more than ten qualifying completed runs; sorted personal/no duplicate terminal insertion already proven.
Human action (HQA-13): 1. Use LIVE; Disposable native browser profile on LIVE, keyboard/mouse; touch only where specified. 2. Create a disposable QA/profile when changing saved state; launch qa:dev or qa:preview for the specified local environment and use the actual printed URL. 3. Execute only the remaining assertion: Public list truncates correctly after more than ten qualifying completed runs; sorted personal/no duplicate terminal insertion already proven.
Expected: Sorted personal scores, no fake global ranking, at most top ten displayed, no duplicate terminal run entry.
Capture: Pass/Fail per ID, screenshot or timestamped video/state snapshot, device/OS/browser versions, viewport/zoom/DPR and a note; compare prior evidence instead of repeating proven subassertions.
Session/evidence: S17; Historical evidence retained; no fresh case execution claimed. Full grouped instructions: HUMAN_QA_FINAL.md#hqa-13.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30" s="44"/>
      <x:c r="H30" s="44" t="str">
        <x:v>Finish multiple runs; open Scores and refresh.</x:v>
      </x:c>
      <x:c r="I30" s="44" t="str">
        <x:v>Sorted personal scores, no fake global ranking, at most top ten displayed, no duplicate terminal run entry.</x:v>
      </x:c>
      <x:c r="J30" s="48" t="str">
        <x:v>C:/Users/mlgjm/OneDrive/Desktop/GameWebsite/outputs/qa-20261006/QA_Evidence/notes/browser-observations.md; NEW V3: C:/Users/mlgjm/OneDrive/Desktop/GameWebsite/outputs/qa-finalization-v3/QA_Evidence/orbit-abandon-scores-before.txt; C:/Users/mlgjm/OneDrive/Desktop/GameWebsite/outputs/qa-finalization-v3/QA_Evidence/orbit-abandon-scores-after.txt; C:/Users/mlgjm/OneDrive/Desktop/GameWebsite/outputs/qa-finalization-v3/QA_Evidence/orbit-abandon-scores-after.png; V3 journal: C:/Users/mlgjm/OneDrive/Desktop/GameWebsite/outputs/qa-finalization-v3/QA_FINALIZATION_V3_JOURNAL.json#ORB-022
Human QA completion statement, 2026-10-07; prior AI evidence retained.</x:v>
      </x:c>
      <x:c r="K30" s="48"/>
      <x:c r="L30" s="48" t="str">
        <x:v>S20</x:v>
      </x:c>
      <x:c r="M30" s="48" t="str">
        <x:v>Hristo</x:v>
      </x:c>
      <x:c r="N30" s="58" t="n">
        <x:v>46302</x:v>
      </x:c>
      <x:c r="O30" s="55" t="str"/>
    </x:row>
    <x:row r="31" ht="76" customHeight="1">
      <x:c r="A31" s="42" t="str">
        <x:v>ORB-023</x:v>
      </x:c>
      <x:c r="B31" s="42" t="str">
        <x:v>LIVE</x:v>
      </x:c>
      <x:c r="C31" s="42" t="str">
        <x:v>P0 - Critical</x:v>
      </x:c>
      <x:c r="D31" s="42" t="str">
        <x:v>Live profile remains after reload</x:v>
      </x:c>
      <x:c r="E31" s="48" t="str">
        <x:v>Pass</x:v>
      </x:c>
      <x:c r="F31" s="48" t="str">
        <x:v>PREVIOUS RESULT: Pass. Completed a short run to best score 75, reloaded the game route, and the menu still displayed BEST 000075.
NEW RESULT: PASS; COMPLETED.
REASON: LIVE best247,20XP10Stars, replacement and otherquestprogress persist afterreload.
SCOPE: LIVE HTTPS
V3: Pass; retained V2 evidence, not rerun. 
Session: V2-LIVE; scope: LIVE HTTPS. See QA_FINALIZATION_V3_JOURNAL.json#ORB-023 and HANDOFF_AND_FIX_QUEUE.md.
Retained prior verified evidence — not rerun in Final AI pass.</x:v>
      </x:c>
      <x:c r="G31" s="42" t="str">
        <x:v>Profile is local, not cross-PC/cloud.</x:v>
      </x:c>
      <x:c r="H31" s="42" t="str">
        <x:v>Record level, XP, Stars, quests, equipped themes and best; refresh.</x:v>
      </x:c>
      <x:c r="I31" s="42" t="str">
        <x:v>Persistent profile survives; an active unfinished run need not be restored.</x:v>
      </x:c>
      <x:c r="J31" s="48" t="str">
        <x:v>C:/Users/mlgjm/OneDrive/Desktop/GameWebsite/outputs/qa-recovery-v2/QA_Evidence/live-orbit-profile-quest-reload-v2.txt; historical: C:/Users/mlgjm/OneDrive/Desktop/GameWebsite/outputs/qa-20261006/QA_Evidence/notes/browser-observations.md; V3 journal: C:/Users/mlgjm/OneDrive/Desktop/GameWebsite/outputs/qa-finalization-v3/QA_FINALIZATION_V3_JOURNAL.json#ORB-023</x:v>
      </x:c>
      <x:c r="K31" s="48"/>
      <x:c r="L31" s="48" t="str">
        <x:v>V2-LIVE</x:v>
      </x:c>
      <x:c r="M31" s="48" t="str">
        <x:v>Codex QA</x:v>
      </x:c>
      <x:c r="N31" s="58" t="n">
        <x:v>46301</x:v>
      </x:c>
      <x:c r="O31" s="54" t="str"/>
    </x:row>
    <x:row r="32" ht="76" customHeight="1">
      <x:c r="A32" s="44" t="str">
        <x:v>ORB-024</x:v>
      </x:c>
      <x:c r="B32" s="44" t="str">
        <x:v>LIVE</x:v>
      </x:c>
      <x:c r="C32" s="44" t="str">
        <x:v>P0 - Critical</x:v>
      </x:c>
      <x:c r="D32" s="44" t="str">
        <x:v>Resize/rotation during run</x:v>
      </x:c>
      <x:c r="E32" s="48" t="str">
        <x:v>Pass</x:v>
      </x:c>
      <x:c r="F32" s="48" t="str">
        <x:v>PREVIOUS RESULT: Pass. During an active run, desktop viewport changed from 360×640 to 640×360; the game remained active and its canvas/UI scaled to the wide frame. Emulation only.
NEW RESULT: PASS; COMPLETED.
REASON: One active LIVE run resized through all thirteen required portrait/landscape/tablet/laptop/desktop dimensions. Score advanced3→10 continuously; pause then held11 at every size. Circle remains round in inspected stress screenshots, Pause/Resume worked, no game document scrollWidth/Height exceeded client bounds. Physical rotation is separate hardware coverage.
SCOPE: LIVE desktop viewport resize/emulated orientation
V3: Pass; retained V2 evidence, not rerun. 
Session: V2-LIVE; scope: LIVE desktop viewport resize/emulated orientation. See QA_FINALIZATION_V3_JOURNAL.json#ORB-024 and HANDOFF_AND_FIX_QUEUE.md.
Retained prior verified evidence — not rerun in Final AI pass.</x:v>
      </x:c>
      <x:c r="G32" s="44" t="str">
        <x:v>Record actual iframe dimensions in Device Matrix.</x:v>
      </x:c>
      <x:c r="H32" s="44" t="str">
        <x:v>Record active score; resize desktop or rotate phone both ways while playing.</x:v>
      </x:c>
      <x:c r="I32" s="44" t="str">
        <x:v>No reload, score reset, distorted circle, lost controls or internal document scrolling.</x:v>
      </x:c>
      <x:c r="J32" s="48" t="str">
        <x:v>C:/Users/mlgjm/OneDrive/Desktop/GameWebsite/outputs/qa-recovery-v2/QA_Evidence/responsive-live-orbit-active-matrix.json; C:/Users/mlgjm/OneDrive/Desktop/GameWebsite/outputs/qa-recovery-v2/QA_Evidence/responsive-live-orbit-paused-matrix.json; C:/Users/mlgjm/OneDrive/Desktop/GameWebsite/outputs/qa-recovery-v2/QA_Evidence/responsive-live-orbit-active-320x800.png; C:/Users/mlgjm/OneDrive/Desktop/GameWebsite/outputs/qa-recovery-v2/QA_Evidence/responsive-live-orbit-active-640x360.png; historical: C:/Users/mlgjm/OneDrive/Desktop/GameWebsite/outputs/qa-20261006/QA_Evidence/notes/browser-observations.md; V3 journal: C:/Users/mlgjm/OneDrive/Desktop/GameWebsite/outputs/qa-finalization-v3/QA_FINALIZATION_V3_JOURNAL.json#ORB-024</x:v>
      </x:c>
      <x:c r="K32" s="48"/>
      <x:c r="L32" s="48" t="str">
        <x:v>V2-LIVE</x:v>
      </x:c>
      <x:c r="M32" s="48" t="str">
        <x:v>Codex QA</x:v>
      </x:c>
      <x:c r="N32" s="58" t="n">
        <x:v>46301</x:v>
      </x:c>
      <x:c r="O32" s="55" t="str"/>
    </x:row>
    <x:row r="33" ht="76" customHeight="1">
      <x:c r="A33" s="42" t="str">
        <x:v>ORB-025</x:v>
      </x:c>
      <x:c r="B33" s="42" t="str">
        <x:v>LIVE</x:v>
      </x:c>
      <x:c r="C33" s="42" t="str">
        <x:v>P0 - Critical</x:v>
      </x:c>
      <x:c r="D33" s="42" t="str">
        <x:v>Fullscreen enter/exit</x:v>
      </x:c>
      <x:c r="E33" s="48" t="str">
        <x:v>Pass</x:v>
      </x:c>
      <x:c r="F33" s="48" t="str">
        <x:v>PREVIOUS RESULT: Pass. Entered and exited fullscreen using the LIVE Orbit player action bar; the game route remained functional after exit.
NEW RESULT: PARTIAL; RUNNABLE.
REASON: LIVEfullscreenactionentersactivepressedstateandexpandedplayer, pausedscore3preservedentry/exit. DirectnativefullscreenElementreadthroughread-onlytoolscopeis inconclusive; sourceusesFullscreenAPIand:fullscreenCSS, nofallbackpath. Pointermapping/fullinitialresizeassertionsnotproven.
SCOPE: LIVE HTTPS fullscreen UI state
V3: Blocked [EVIDENCE_GAP]. Proven already: LIVEfullscreenactionentersactivepressedstateandexpandedplayer, pausedscore3preservedentry/exit. DirectnativefullscreenElementreadthroughread-onlytoolscopeis inconclusive; sourceusesFullscreenAPIand:fullscreenCSS, nofallbackpath. Pointermapping/fullinitialresizeassertionsnotproven. V3 observation: Native fullscreen entered at actual1920x1080, PLAY worked, exit kept active run. Paused score74 retained through entry/exit. Remaining exact canvas pointer reversal mapping not directly measured.
Remaining: Direct canvas pointer reversal mapping in embedded versus native fullscreen; active and paused state preservation now proven.
Specific reason: V3 completed the recorded subchecks; remaining assertion lacks direct scoped evidence within this bounded pass.
Attempted this run: yes. Owner: Human tester. Next step: Execute only: Direct canvas pointer reversal mapping in embedded versus native fullscreen; active and paused state preservation now proven.
Session: V3-LIVE; scope: LIVE HTTPS; native in-app Chromium; V3 observed views. See QA_FINALIZATION_V3_JOURNAL.json#ORB-025 and HANDOFF_AND_FIX_QUEUE.md.
FINAL AI 4B.2 (2026-10-07): BLOCKED — HUMAN TESTING REQUIRED [HUMAN_BROWSER].
Why AI did not finish: The supported browser API cannot certify native fullscreen/pointer mapping, browser zoom or the required second browser.
AI already proved: Fullscreen action switched to Exit fullscreen/pressed and returned to normal with ongoing score; document.fullscreenElement was absent in this browser.
Remaining: Use supported native browser fullscreen during play and pause, verify pointer mapping and preserved state.
Human action (HQA-07): 1. Use LIVE; Native Chrome or Edge supporting fullscreen, browser zoom and positioned pointer; physical rotation where listed. 2. Create a disposable QA/profile when changing saved state; launch qa:dev or qa:preview for the specified local environment and use the actual printed URL. 3. Execute only the remaining assertion: Use supported native browser fullscreen during play and pause, verify pointer mapping and preserved state.
Expected: State preserved and pointer mapping correct; unsupported browser behavior noted without false pass.
Capture: Pass/Fail per ID, screenshot or timestamped video/state snapshot, device/OS/browser versions, viewport/zoom/DPR and a note; compare prior evidence instead of repeating proven subassertions.
Session/evidence: S17; QA_Evidence/observations.json. Full grouped instructions: HUMAN_QA_FINAL.md#hqa-07.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33" s="42"/>
      <x:c r="H33" s="42" t="str">
        <x:v>Enter player fullscreen, play, exit, repeat while paused.</x:v>
      </x:c>
      <x:c r="I33" s="42" t="str">
        <x:v>State preserved and pointer mapping correct; unsupported browser behavior noted without false pass.</x:v>
      </x:c>
      <x:c r="J33" s="48" t="str">
        <x:v>C:/Users/mlgjm/OneDrive/Desktop/GameWebsite/outputs/qa-recovery-v2/QA_Evidence/live-orbit-fullscreen-v2.txt; C:/Users/mlgjm/OneDrive/Desktop/GameWebsite/outputs/qa-recovery-v2/QA_Evidence/live-orbit-fullscreen-exit-v2.txt; historical: C:/Users/mlgjm/OneDrive/Desktop/GameWebsite/outputs/qa-20261006/QA_Evidence/notes/browser-observations.md; NEW V3: C:/Users/mlgjm/OneDrive/Desktop/GameWebsite/outputs/qa-finalization-v3/QA_Evidence/orbit-fullscreen-playing.txt; C:/Users/mlgjm/OneDrive/Desktop/GameWebsite/outputs/qa-finalization-v3/QA_Evidence/orbit-paused-before-fullscreen.txt; C:/Users/mlgjm/OneDrive/Desktop/GameWebsite/outputs/qa-finalization-v3/QA_Evidence/orbit-paused-in-fullscreen.txt; C:/Users/mlgjm/OneDrive/Desktop/GameWebsite/outputs/qa-finalization-v3/QA_Evidence/orbit-paused-after-fullscreen.txt; V3 journal: C:/Users/mlgjm/OneDrive/Desktop/GameWebsite/outputs/qa-finalization-v3/QA_FINALIZATION_V3_JOURNAL.json#ORB-025; FINAL AI: C:/Users/mlgjm/OneDrive/Desktop/GameWebsite/outputs/qa-final-ai/2026-10-07_000739/QA_Evidence/observations.json
Human QA completion statement, 2026-10-07; prior AI evidence retained.</x:v>
      </x:c>
      <x:c r="K33" s="48"/>
      <x:c r="L33" s="48" t="str">
        <x:v>S20</x:v>
      </x:c>
      <x:c r="M33" s="48" t="str">
        <x:v>Hristo</x:v>
      </x:c>
      <x:c r="N33" s="58" t="n">
        <x:v>46302</x:v>
      </x:c>
      <x:c r="O33" s="54" t="str"/>
    </x:row>
    <x:row r="34" ht="76" customHeight="1">
      <x:c r="A34" s="44" t="str">
        <x:v>ORB-026</x:v>
      </x:c>
      <x:c r="B34" s="44" t="str">
        <x:v>LIVE</x:v>
      </x:c>
      <x:c r="C34" s="44" t="str">
        <x:v>P0 - Critical</x:v>
      </x:c>
      <x:c r="D34" s="44" t="str">
        <x:v>Touch and accidental page gestures</x:v>
      </x:c>
      <x:c r="E34" s="48" t="str">
        <x:v>Pass</x:v>
      </x:c>
      <x:c r="F34" s="48" t="str">
        <x:v>PREVIOUS RESULT: Blocked. HUMAN TEST REQUIRED: verify touch input and accidental page gestures on a physical touchscreen.
NEW RESULT: NOT_EXECUTED; PHYSICAL_DEVICE_REQUIRED.
REASON: Physical touch and accidental page gestures require real touch hardware.
SCOPE: Historical evidence only; V2 not executed
V3: Blocked [HARDWARE_REQUIRED]. Proven already: Physical touch and accidental page gestures require real touch hardware.
Remaining: Required assertions not yet fully verified: Touch actions work without unintended scrolling/zooming/restarting the game. Procedure: Use real mobile taps to reverse, Pause and close a popup.
Specific reason: Physical touch and accidental page gestures require real touch hardware.
Attempted this run: no. Owner: Human tester. Next step: Human tester executes in the case environment: Required assertions not yet fully verified: Touch actions work without unintended scrolling/zooming/restarting the game. Procedure: Use real mobile taps to reverse, Pause and close a popup.
Session: S02; scope: Historical evidence only; V2 not executed. See QA_FINALIZATION_V3_JOURNAL.json#ORB-026 and HANDOFF_AND_FIX_QUEUE.md.
FINAL AI 4B.2 (2026-10-07): BLOCKED — HUMAN TESTING REQUIRED [HUMAN_DEVICE].
Why AI did not finish: The required physical device, touch, OS setting or assistive technology is not available to this browser agent.
AI already proved: No complete independent evidence for the remaining assertions; historical observations remain in the workbook.
Remaining: Touch actions work without unintended scrolling/zooming/restarting the game. Procedure: Use real mobile taps to reverse, Pause and close a popup.
Human action (HQA-01): 1. Use LIVE; Physical Android phone, Chrome; record model, Android and Chrome versions. 2. Physical device; emulation alone does not pass this row. 3. Execute only the remaining assertion: Touch actions work without unintended scrolling/zooming/restarting the game. Procedure: Use real mobile taps to reverse, Pause and close a popup.
Expected: Touch actions work without unintended scrolling/zooming/restarting the game.
Capture: Pass/Fail per ID, screenshot or timestamped video/state snapshot, device/OS/browser versions, viewport/zoom/DPR and a note; compare prior evidence instead of repeating proven subassertions.
Session/evidence: S17; Historical evidence retained; no fresh case execution claimed. Full grouped instructions: HUMAN_QA_FINAL.md#hqa-01.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34" s="44" t="str">
        <x:v>Physical device; emulation alone does not pass this row.</x:v>
      </x:c>
      <x:c r="H34" s="44" t="str">
        <x:v>Use real mobile taps to reverse, Pause and close a popup.</x:v>
      </x:c>
      <x:c r="I34" s="44" t="str">
        <x:v>Touch actions work without unintended scrolling/zooming/restarting the game.</x:v>
      </x:c>
      <x:c r="J34" s="48" t="str">
        <x:v>C:/Users/mlgjm/OneDrive/Desktop/GameWebsite/outputs/qa-20261006/QA_Evidence/notes/browser-observations.md; V3 journal: C:/Users/mlgjm/OneDrive/Desktop/GameWebsite/outputs/qa-finalization-v3/QA_FINALIZATION_V3_JOURNAL.json#ORB-026
Human QA completion statement, 2026-10-07; prior AI evidence retained.</x:v>
      </x:c>
      <x:c r="K34" s="48"/>
      <x:c r="L34" s="48" t="str">
        <x:v>S21</x:v>
      </x:c>
      <x:c r="M34" s="48" t="str">
        <x:v>Hristo</x:v>
      </x:c>
      <x:c r="N34" s="58" t="n">
        <x:v>46302</x:v>
      </x:c>
      <x:c r="O34" s="55" t="str"/>
    </x:row>
    <x:row r="35" ht="76" customHeight="1">
      <x:c r="A35" s="42" t="str">
        <x:v>ORB-027</x:v>
      </x:c>
      <x:c r="B35" s="42" t="str">
        <x:v>LIVE</x:v>
      </x:c>
      <x:c r="C35" s="42" t="str">
        <x:v>P1 - Required</x:v>
      </x:c>
      <x:c r="D35" s="42" t="str">
        <x:v>Long-session repeat lifecycle</x:v>
      </x:c>
      <x:c r="E35" s="48" t="str">
        <x:v>Pass</x:v>
      </x:c>
      <x:c r="F35" s="48" t="str">
        <x:v>PREVIOUS RESULT: Blocked. HUMAN TEST REQUIRED: HUMAN TEST REQUIRED: perform the specified 10–15 minute lifecycle soak and record stability/performance on the target device.
NEW RESULT: NOT_EXECUTED; RUNNABLE.
REASON: Existing evidence needs a targeted comparison against all expected assertions; no V2 browser execution yet.
SCOPE: Historical evidence only; V2 not executed
V3: Blocked [BUDGET_HANDOFF]. Proven already: No complete direct evidence; earlier notes retained above.
Remaining: Required assertions not yet fully verified: No duplicated input/audio, accumulating visible effects or progressively unresponsive UI. Procedure: Play/restart/open-close panels repeatedly for about 10 minutes.
Specific reason: Not attempted/completed within this run's bounded execution budget. Not attempted/completed within this run's bounded execution budget. Not attempted/completed within this run's bounded execution budget. Not attempted/completed within this run's bounded execution budget. Natural progression or a continuous timed soak cannot be substituted by accumulated unrelated short tests; excluded from this bounded finalization budget.
Attempted this run: no. Owner: Human tester. Next step: Human tester executes in the case environment: Required assertions not yet fully verified: No duplicated input/audio, accumulating visible effects or progressively unresponsive UI. Procedure: Play/restart/open-close panels repeatedly for about 10 minutes.
Session: S02; scope: Historical evidence only; V2 not executed. See QA_FINALIZATION_V3_JOURNAL.json#ORB-027 and HANDOFF_AND_FIX_QUEUE.md.
FINAL AI 4B.2 (2026-10-07): BLOCKED — HUMAN TESTING REQUIRED [BUDGET / HUMAN QA HANDOFF].
Why AI did not finish: The bounded Final AI testing window did not complete the full compound scenario. This remains AI-suitable or mixed work, handed to Human QA rather than claiming all practical AI testing complete.
AI already proved: No complete independent evidence for the remaining assertions; historical observations remain in the workbook.
Remaining: No duplicated input/audio, accumulating visible effects or progressively unresponsive UI. Procedure: Play/restart/open-close panels repeatedly for about 10 minutes.
Human action (HQA-09): 1. Use LIVE; Native browser with audio and pointer; stopwatch and continuous recording. 2. Designer test duration, not a formal performance standard. 3. Execute only the remaining assertion: No duplicated input/audio, accumulating visible effects or progressively unresponsive UI. Procedure: Play/restart/open-close panels repeatedly for about 10 minutes.
Expected: No duplicated input/audio, accumulating visible effects or progressively unresponsive UI.
Capture: Pass/Fail per ID, screenshot or timestamped video/state snapshot, device/OS/browser versions, viewport/zoom/DPR and a note; compare prior evidence instead of repeating proven subassertions.
Session/evidence: S17; Historical evidence retained; no fresh case execution claimed. Full grouped instructions: HUMAN_QA_FINAL.md#hqa-09.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35" s="42" t="str">
        <x:v>Designer test duration, not a formal performance standard.</x:v>
      </x:c>
      <x:c r="H35" s="42" t="str">
        <x:v>Play/restart/open-close panels repeatedly for about 10 minutes.</x:v>
      </x:c>
      <x:c r="I35" s="42" t="str">
        <x:v>No duplicated input/audio, accumulating visible effects or progressively unresponsive UI.</x:v>
      </x:c>
      <x:c r="J35" s="48" t="str">
        <x:v>C:/Users/mlgjm/OneDrive/Desktop/GameWebsite/outputs/qa-20261006/QA_Evidence/notes/browser-observations.md; V3 journal: C:/Users/mlgjm/OneDrive/Desktop/GameWebsite/outputs/qa-finalization-v3/QA_FINALIZATION_V3_JOURNAL.json#ORB-027
Human QA completion statement, 2026-10-07; prior AI evidence retained.</x:v>
      </x:c>
      <x:c r="K35" s="48"/>
      <x:c r="L35" s="48" t="str">
        <x:v>S20</x:v>
      </x:c>
      <x:c r="M35" s="48" t="str">
        <x:v>Hristo</x:v>
      </x:c>
      <x:c r="N35" s="58" t="n">
        <x:v>46302</x:v>
      </x:c>
      <x:c r="O35" s="54" t="str"/>
    </x:row>
    <x:row r="36" ht="76" customHeight="1">
      <x:c r="A36" s="44" t="str">
        <x:v>ORB-028</x:v>
      </x:c>
      <x:c r="B36" s="44" t="str">
        <x:v>LIVE</x:v>
      </x:c>
      <x:c r="C36" s="44" t="str">
        <x:v>P2 - Polish</x:v>
      </x:c>
      <x:c r="D36" s="44" t="str">
        <x:v>Polish / difficulty feel</x:v>
      </x:c>
      <x:c r="E36" s="48" t="str">
        <x:v>Pass</x:v>
      </x:c>
      <x:c r="F36" s="48" t="str">
        <x:v>PREVIOUS RESULT: Blocked. HUMAN TEST REQUIRED: subjective polish, difficulty feel, readability and audio satisfaction need player evaluation.
NEW RESULT: NOT_EXECUTED; HUMAN_JUDGMENT_REQUIRED.
REASON: Difficulty feel and polish require human judgment.
SCOPE: Historical evidence only; V2 not executed
V3: Blocked [HUMAN_JUDGMENT]. Proven already: Difficulty feel and polish require human judgment.
Remaining: Required assertions not yet fully verified: Record suggestions only; optional balancing does not block the pre-compliance product gate. Procedure: Write notes on early/late difficulty, readability, cosmetics and audio satisfaction.
Specific reason: Difficulty feel and polish require human judgment.
Attempted this run: no. Owner: Human tester. Next step: Human tester executes in the case environment: Required assertions not yet fully verified: Record suggestions only; optional balancing does not block the pre-compliance product gate. Procedure: Write notes on early/late difficulty, readability, cosmetics and audio satisfaction.
Session: S02; scope: Historical evidence only; V2 not executed. See QA_FINALIZATION_V3_JOURNAL.json#ORB-028 and HANDOFF_AND_FIX_QUEUE.md.
FINAL AI 4B.2 (2026-10-07): BLOCKED — HUMAN TESTING REQUIRED [HUMAN_JUDGMENT].
Why AI did not finish: Human visual/game-feel/device-performance judgment or first-paint video is required.
AI already proved: No complete independent evidence for the remaining assertions; historical observations remain in the workbook.
Remaining: Record suggestions only; optional balancing does not block the pre-compliance product gate. Procedure: Write notes on early/late difficulty, readability, cosmetics and audio satisfaction.
Human action (HQA-06): 1. Use LIVE; Human player on desktop and physical phone; record difficulty, viewport and device. 2. Create a disposable QA/profile when changing saved state; launch qa:dev or qa:preview for the specified local environment and use the actual printed URL. 3. Execute only the remaining assertion: Record suggestions only; optional balancing does not block the pre-compliance product gate. Procedure: Write notes on early/late difficulty, readability, cosmetics and audio satisfaction.
Expected: Record suggestions only; optional balancing does not block the pre-compliance product gate.
Capture: Pass/Fail per ID, screenshot or timestamped video/state snapshot, device/OS/browser versions, viewport/zoom/DPR and a note; compare prior evidence instead of repeating proven subassertions.
Session/evidence: S17; Historical evidence retained; no fresh case execution claimed. Full grouped instructions: HUMAN_QA_FINAL.md#hqa-06. Historical Bug IDs are retained links, not current confirmed dependencies unless explicitly stated.
FINAL HUMAN QA (2026-10-07): PASS for the QA gate. Product notes retained for later polish: update art/animations; add Settings access on the Orbit main menu; add a framed tutorial/onboarding flow.</x:v>
      </x:c>
      <x:c r="G36" s="44"/>
      <x:c r="H36" s="44" t="str">
        <x:v>Write notes on early/late difficulty, readability, cosmetics and audio satisfaction.</x:v>
      </x:c>
      <x:c r="I36" s="44" t="str">
        <x:v>Record suggestions only; optional balancing does not block the pre-compliance product gate.</x:v>
      </x:c>
      <x:c r="J36" s="48" t="str">
        <x:v>C:/Users/mlgjm/OneDrive/Desktop/GameWebsite/outputs/qa-20261006/QA_Evidence/notes/browser-observations.md; V3 journal: C:/Users/mlgjm/OneDrive/Desktop/GameWebsite/outputs/qa-finalization-v3/QA_FINALIZATION_V3_JOURNAL.json#ORB-028
Human QA completion statement, 2026-10-07; prior AI evidence retained.</x:v>
      </x:c>
      <x:c r="K36" s="48"/>
      <x:c r="L36" s="48" t="str">
        <x:v>S20</x:v>
      </x:c>
      <x:c r="M36" s="48" t="str">
        <x:v>Hristo</x:v>
      </x:c>
      <x:c r="N36" s="58" t="n">
        <x:v>46302</x:v>
      </x:c>
      <x:c r="O36" s="55" t="str"/>
    </x:row>
  </x:sheetData>
  <x:mergeCells>
    <x:mergeCell ref="A1:O2"/>
    <x:mergeCell ref="A3:O3"/>
    <x:mergeCell ref="A4:O4"/>
  </x:mergeCells>
  <x:conditionalFormatting sqref="E9:E36">
    <x:cfRule type="expression" dxfId="8" priority="1">
      <x:formula>$E9="Not run"</x:formula>
    </x:cfRule>
    <x:cfRule type="expression" dxfId="9" priority="2">
      <x:formula>$E9="In progress"</x:formula>
    </x:cfRule>
    <x:cfRule type="expression" dxfId="10" priority="3">
      <x:formula>$E9="Pass"</x:formula>
    </x:cfRule>
    <x:cfRule type="expression" dxfId="11" priority="4">
      <x:formula>$E9="Fail"</x:formula>
    </x:cfRule>
    <x:cfRule type="expression" dxfId="12" priority="5">
      <x:formula>$E9="Blocked"</x:formula>
    </x:cfRule>
    <x:cfRule type="expression" dxfId="13" priority="6">
      <x:formula>$E9="Retest due"</x:formula>
    </x:cfRule>
    <x:cfRule type="expression" dxfId="14" priority="7">
      <x:formula>$E9="N/A"</x:formula>
    </x:cfRule>
  </x:conditionalFormatting>
  <x:conditionalFormatting sqref="C9:C36">
    <x:cfRule type="expression" dxfId="15" priority="8">
      <x:formula>$C9="P0 - Critical"</x:formula>
    </x:cfRule>
  </x:conditionalFormatting>
  <x:dataValidations count="3">
    <x:dataValidation type="list" sqref="E9:E36">
      <x:formula1>"Not run,In progress,Pass,Fail,Blocked,Retest due,N/A"</x:formula1>
    </x:dataValidation>
    <x:dataValidation type="list" sqref="C9:C36">
      <x:formula1>"P0 - Critical,P1 - Required,P2 - Polish"</x:formula1>
    </x:dataValidation>
    <x:dataValidation type="list" sqref="L9:L36">
      <x:formula1>'Sessions'!$A$9:$A$38</x:formula1>
    </x:dataValidation>
  </x:dataValidations>
  <x:pageMargins left="0.7" right="0.7" top="0.75" bottom="0.75" header="0.3" footer="0.3"/>
  <x:tableParts count="1">
    <x:tablePart xmlns:r="http://schemas.openxmlformats.org/officeDocument/2006/relationships" r:id="Rcd05e98cb5c64c14"/>
  </x:tableParts>
</x:worksheet>
</file>

<file path=xl/worksheets/sheet6.xml><?xml version="1.0" encoding="utf-8"?>
<x:worksheet xmlns:x="http://schemas.openxmlformats.org/spreadsheetml/2006/main">
  <x:sheetFormatPr defaultRowHeight="15"/>
  <x:cols>
    <x:col min="1" max="1" width="13" hidden="0" customWidth="1"/>
    <x:col min="2" max="2" width="20" hidden="0" customWidth="1"/>
    <x:col min="3" max="3" width="19" hidden="0" customWidth="1"/>
    <x:col min="4" max="4" width="36" hidden="0" customWidth="1"/>
    <x:col min="5" max="5" width="18" hidden="0" customWidth="1"/>
    <x:col min="6" max="6" width="38" hidden="0" customWidth="1"/>
    <x:col min="7" max="7" width="36" hidden="0" customWidth="1"/>
    <x:col min="8" max="8" width="40" hidden="0" customWidth="1"/>
    <x:col min="9" max="9" width="40" hidden="0" customWidth="1"/>
    <x:col min="10" max="10" width="28" hidden="0" customWidth="1"/>
    <x:col min="11" max="11" width="16" hidden="0" customWidth="1"/>
    <x:col min="12" max="12" width="15" hidden="0" customWidth="1"/>
    <x:col min="13" max="13" width="18" hidden="0" customWidth="1"/>
    <x:col min="14" max="14" width="14" hidden="0" customWidth="1"/>
    <x:col min="15" max="15" width="35" hidden="0" customWidth="1"/>
  </x:cols>
  <x:sheetData>
    <x:row r="1">
      <x:c r="A1" s="14" t="str">
        <x:v>REACTOR PUBLIC | PRODUCT QA</x:v>
      </x:c>
      <x:c r="B1" s="14"/>
      <x:c r="C1" s="14"/>
      <x:c r="D1" s="14"/>
      <x:c r="E1" s="14"/>
      <x:c r="F1" s="14"/>
      <x:c r="G1" s="14"/>
      <x:c r="H1" s="14"/>
      <x:c r="I1" s="14"/>
      <x:c r="J1" s="14"/>
      <x:c r="K1" s="14"/>
      <x:c r="L1" s="14"/>
      <x:c r="M1" s="14"/>
      <x:c r="N1" s="14"/>
      <x:c r="O1" s="14"/>
    </x:row>
    <x:row r="2">
      <x:c r="A2" s="14"/>
      <x:c r="B2" s="14"/>
      <x:c r="C2" s="14"/>
      <x:c r="D2" s="14"/>
      <x:c r="E2" s="14"/>
      <x:c r="F2" s="14"/>
      <x:c r="G2" s="14"/>
      <x:c r="H2" s="14"/>
      <x:c r="I2" s="14"/>
      <x:c r="J2" s="14"/>
      <x:c r="K2" s="14"/>
      <x:c r="L2" s="14"/>
      <x:c r="M2" s="14"/>
      <x:c r="N2" s="14"/>
      <x:c r="O2" s="14"/>
    </x:row>
    <x:row r="3" ht="24" customHeight="1">
      <x:c r="A3" s="19" t="str">
        <x:v>Baseline 42e8b200 | 26 tests | No results pre-approved | P0/P1 must be resolved before product sign-off</x:v>
      </x:c>
      <x:c r="B3" s="19"/>
      <x:c r="C3" s="19"/>
      <x:c r="D3" s="19"/>
      <x:c r="E3" s="19"/>
      <x:c r="F3" s="19"/>
      <x:c r="G3" s="19"/>
      <x:c r="H3" s="19"/>
      <x:c r="I3" s="19"/>
      <x:c r="J3" s="19"/>
      <x:c r="K3" s="19"/>
      <x:c r="L3" s="19"/>
      <x:c r="M3" s="19"/>
      <x:c r="N3" s="19"/>
      <x:c r="O3" s="19"/>
    </x:row>
    <x:row r="4" ht="24" customHeight="1">
      <x:c r="A4" s="22" t="str">
        <x:v>Fill Status, Actual result, Evidence, Bug ID, Session, Tester and Date. Filters available on row 8. N/A needs a reason; missing hardware is Blocked.</x:v>
      </x:c>
      <x:c r="B4" s="22"/>
      <x:c r="C4" s="22"/>
      <x:c r="D4" s="22"/>
      <x:c r="E4" s="22"/>
      <x:c r="F4" s="22"/>
      <x:c r="G4" s="22"/>
      <x:c r="H4" s="22"/>
      <x:c r="I4" s="22"/>
      <x:c r="J4" s="22"/>
      <x:c r="K4" s="22"/>
      <x:c r="L4" s="22"/>
      <x:c r="M4" s="22"/>
      <x:c r="N4" s="22"/>
      <x:c r="O4" s="22"/>
    </x:row>
    <x:row r="5">
      <x:c r="A5" s="10"/>
      <x:c r="B5" s="10"/>
      <x:c r="C5" s="10"/>
      <x:c r="D5" s="10"/>
      <x:c r="E5" s="10"/>
      <x:c r="F5" s="10"/>
      <x:c r="G5" s="10"/>
      <x:c r="H5" s="10"/>
      <x:c r="I5" s="10"/>
      <x:c r="J5" s="10"/>
      <x:c r="K5" s="10"/>
      <x:c r="L5" s="10"/>
      <x:c r="M5" s="10"/>
      <x:c r="N5" s="10"/>
      <x:c r="O5" s="10"/>
    </x:row>
    <x:row r="6" ht="23" customHeight="1">
      <x:c r="A6" s="25" t="str">
        <x:v>TOTAL</x:v>
      </x:c>
      <x:c r="B6" s="25" t="n">
        <x:f>COUNTA(A9:A34)</x:f>
        <x:v>26</x:v>
      </x:c>
      <x:c r="C6" s="25" t="str">
        <x:v>PASS</x:v>
      </x:c>
      <x:c r="D6" s="25" t="n">
        <x:f>COUNTIF(E9:E34,"Pass")</x:f>
        <x:v>23</x:v>
      </x:c>
      <x:c r="E6" s="25" t="str">
        <x:v>FAIL</x:v>
      </x:c>
      <x:c r="F6" s="25" t="n">
        <x:f>COUNTIF(E9:E34,"Fail")</x:f>
        <x:v>2</x:v>
      </x:c>
      <x:c r="G6" s="25" t="str">
        <x:v>BLOCKED</x:v>
      </x:c>
      <x:c r="H6" s="25" t="n">
        <x:f>COUNTIF(E9:E34,"Blocked")</x:f>
        <x:v>0</x:v>
      </x:c>
      <x:c r="I6" s="25" t="str">
        <x:v>NOT RUN</x:v>
      </x:c>
      <x:c r="J6" s="25" t="n">
        <x:f>COUNTIF(E9:E34,"Not run")</x:f>
        <x:v>0</x:v>
      </x:c>
      <x:c r="K6" s="25" t="str">
        <x:v>EXECUTED</x:v>
      </x:c>
      <x:c r="L6" s="28" t="n">
        <x:f>IFERROR((COUNTIF(E9:E34,"Pass")+COUNTIF(E9:E34,"Fail")+COUNTIF(E9:E34,"N/A"))/COUNTA(A9:A34),0)</x:f>
        <x:v>1</x:v>
      </x:c>
      <x:c r="M6" s="10"/>
      <x:c r="N6" s="10"/>
      <x:c r="O6" s="10"/>
    </x:row>
    <x:row r="7">
      <x:c r="A7" s="10"/>
      <x:c r="B7" s="10"/>
      <x:c r="C7" s="10"/>
      <x:c r="D7" s="10"/>
      <x:c r="E7" s="10"/>
      <x:c r="F7" s="10"/>
      <x:c r="G7" s="10"/>
      <x:c r="H7" s="10"/>
      <x:c r="I7" s="10"/>
      <x:c r="J7" s="10"/>
      <x:c r="K7" s="10"/>
      <x:c r="L7" s="10"/>
      <x:c r="M7" s="10"/>
      <x:c r="N7" s="10"/>
      <x:c r="O7" s="10"/>
    </x:row>
    <x:row r="8" ht="32" customHeight="1">
      <x:c r="A8" s="33" t="str">
        <x:v>Test ID</x:v>
      </x:c>
      <x:c r="B8" s="33" t="str">
        <x:v>Environment</x:v>
      </x:c>
      <x:c r="C8" s="33" t="str">
        <x:v>Priority</x:v>
      </x:c>
      <x:c r="D8" s="33" t="str">
        <x:v>Test / feature</x:v>
      </x:c>
      <x:c r="E8" s="33" t="str">
        <x:v>Status</x:v>
      </x:c>
      <x:c r="F8" s="33" t="str">
        <x:v>Actual result / notes</x:v>
      </x:c>
      <x:c r="G8" s="33" t="str">
        <x:v>Setup / caution</x:v>
      </x:c>
      <x:c r="H8" s="33" t="str">
        <x:v>Steps to perform</x:v>
      </x:c>
      <x:c r="I8" s="33" t="str">
        <x:v>Expected result</x:v>
      </x:c>
      <x:c r="J8" s="33" t="str">
        <x:v>Evidence link / file</x:v>
      </x:c>
      <x:c r="K8" s="33" t="str">
        <x:v>Bug ID(s)</x:v>
      </x:c>
      <x:c r="L8" s="33" t="str">
        <x:v>Session ID</x:v>
      </x:c>
      <x:c r="M8" s="33" t="str">
        <x:v>Tester</x:v>
      </x:c>
      <x:c r="N8" s="33" t="str">
        <x:v>Test date</x:v>
      </x:c>
      <x:c r="O8" s="33" t="str">
        <x:v>Source / baseline reference</x:v>
      </x:c>
    </x:row>
    <x:row r="9" ht="76" customHeight="1">
      <x:c r="A9" s="42" t="str">
        <x:v>REA-001</x:v>
      </x:c>
      <x:c r="B9" s="42" t="str">
        <x:v>LIVE</x:v>
      </x:c>
      <x:c r="C9" s="42" t="str">
        <x:v>P0 - Critical</x:v>
      </x:c>
      <x:c r="D9" s="42" t="str">
        <x:v>Initialize baseline</x:v>
      </x:c>
      <x:c r="E9" s="48" t="str">
        <x:v>Pass</x:v>
      </x:c>
      <x:c r="F9" s="48" t="str">
        <x:v>PREVIOUS RESULT: Pass. Initialized the public game from its default menu; the board showed six rows by six columns and CORE HEAT 0%.
NEW RESULT: PASS; COMPLETED.
REASON: Actual LIVE Initialize created a6×6/six-cell board with HUDstability0/moves0/heat0 and one charge each. Normal no-merge turn chain then reached resultScore0, corroborating zero initial score; fresh Reinitialize again reset the temporary counters.
SCOPE: LIVE real normal Initialize and zero-score terminal corroboration
V3: Pass; retained V2 evidence, not rerun. 
Session: V2-LIVE; scope: LIVE real normal Initialize and zero-score terminal corroboration. See QA_FINALIZATION_V3_JOURNAL.json#REA-001 and HANDOFF_AND_FIX_QUEUE.md.
Retained prior verified evidence — not rerun in Final AI pass.</x:v>
      </x:c>
      <x:c r="G9" s="42" t="str">
        <x:v>Default config, no DEV overrides.</x:v>
      </x:c>
      <x:c r="H9" s="42" t="str">
        <x:v>Open Reactor on LIVE and press INITIALIZE REACTOR.</x:v>
      </x:c>
      <x:c r="I9" s="42" t="str">
        <x:v>One 6×6 board with six initial cells, heat/stability/score/moves zero and one charge of each power-up.</x:v>
      </x:c>
      <x:c r="J9" s="48" t="str">
        <x:v>C:/Users/mlgjm/OneDrive/Desktop/GameWebsite/outputs/qa-recovery-v2/QA_Evidence/live-reactor-fresh-initialize.txt; C:/Users/mlgjm/OneDrive/Desktop/GameWebsite/outputs/qa-recovery-v2/QA_Evidence/live-reactor-real-reinitialize.txt; C:/Users/mlgjm/OneDrive/Desktop/GameWebsite/outputs/qa-recovery-v2/QA_Evidence/live-reactor-heat-100-terminal.txt; historical: C:/Users/mlgjm/OneDrive/Desktop/GameWebsite/outputs/qa-20261006/QA_Evidence/notes/browser-observations.md; V3 journal: C:/Users/mlgjm/OneDrive/Desktop/GameWebsite/outputs/qa-finalization-v3/QA_FINALIZATION_V3_JOURNAL.json#REA-001</x:v>
      </x:c>
      <x:c r="K9" s="48"/>
      <x:c r="L9" s="48" t="str">
        <x:v>V2-LIVE</x:v>
      </x:c>
      <x:c r="M9" s="48" t="str">
        <x:v>Codex QA</x:v>
      </x:c>
      <x:c r="N9" s="58" t="n">
        <x:v>46301</x:v>
      </x:c>
      <x:c r="O9" s="54" t="str"/>
    </x:row>
    <x:row r="10" ht="76" customHeight="1">
      <x:c r="A10" s="44" t="str">
        <x:v>REA-002</x:v>
      </x:c>
      <x:c r="B10" s="44" t="str">
        <x:v>LIVE</x:v>
      </x:c>
      <x:c r="C10" s="44" t="str">
        <x:v>P0 - Critical</x:v>
      </x:c>
      <x:c r="D10" s="44" t="str">
        <x:v>Move to adjacent empty</x:v>
      </x:c>
      <x:c r="E10" s="48" t="str">
        <x:v>Pass</x:v>
      </x:c>
      <x:c r="F10" s="48" t="str">
        <x:v>PREVIOUS RESULT: Pass. Selected an occupied cell and its adjacent empty cell; the game announced Cell repositioned, the cell moved, and heat became 4%.
NEW RESULT: PASS; COMPLETED.
REASON: LIVE at390×844: tap TierII at0 into adjacent empty1 committed move1/heat4 and one additional TierI spawn (six→seven cells). Dragging same cell back committed move2/heat8 and one additional TierI spawn (seven→eight). No power or stability change.
SCOPE: LIVE real pointer input at390×844
V3: Pass; retained V2 evidence, not rerun. 
Session: V2-LIVE; scope: LIVE real pointer input at390×844. See QA_FINALIZATION_V3_JOURNAL.json#REA-002 and HANDOFF_AND_FIX_QUEUE.md.
Retained prior verified evidence — not rerun in Final AI pass.</x:v>
      </x:c>
      <x:c r="G10" s="44"/>
      <x:c r="H10" s="44" t="str">
        <x:v>Move one cell into an orthogonally adjacent empty slot using tap and drag.</x:v>
      </x:c>
      <x:c r="I10" s="44" t="str">
        <x:v>One accepted move and normal heat increase; one low-tier spawn while run remains active.</x:v>
      </x:c>
      <x:c r="J10" s="48" t="str">
        <x:v>C:/Users/mlgjm/OneDrive/Desktop/GameWebsite/outputs/qa-recovery-v2/QA_Evidence/live-reactor-phone-tap-move.txt; C:/Users/mlgjm/OneDrive/Desktop/GameWebsite/outputs/qa-recovery-v2/QA_Evidence/live-reactor-phone-tap-move.png; C:/Users/mlgjm/OneDrive/Desktop/GameWebsite/outputs/qa-recovery-v2/QA_Evidence/live-reactor-phone-drag-move.txt; C:/Users/mlgjm/OneDrive/Desktop/GameWebsite/outputs/qa-recovery-v2/QA_Evidence/live-reactor-phone-drag-move.png; historical: C:/Users/mlgjm/OneDrive/Desktop/GameWebsite/outputs/qa-20261006/QA_Evidence/notes/browser-observations.md; V3 journal: C:/Users/mlgjm/OneDrive/Desktop/GameWebsite/outputs/qa-finalization-v3/QA_FINALIZATION_V3_JOURNAL.json#REA-002</x:v>
      </x:c>
      <x:c r="K10" s="48"/>
      <x:c r="L10" s="48" t="str">
        <x:v>V2-LIVE</x:v>
      </x:c>
      <x:c r="M10" s="48" t="str">
        <x:v>Codex QA</x:v>
      </x:c>
      <x:c r="N10" s="58" t="n">
        <x:v>46301</x:v>
      </x:c>
      <x:c r="O10" s="55" t="str"/>
    </x:row>
    <x:row r="11" ht="76" customHeight="1">
      <x:c r="A11" s="42" t="str">
        <x:v>REA-003</x:v>
      </x:c>
      <x:c r="B11" s="42" t="str">
        <x:v>LIVE</x:v>
      </x:c>
      <x:c r="C11" s="42" t="str">
        <x:v>P0 - Critical</x:v>
      </x:c>
      <x:c r="D11" s="42" t="str">
        <x:v>Merge equal tiers</x:v>
      </x:c>
      <x:c r="E11" s="48" t="str">
        <x:v>Pass</x:v>
      </x:c>
      <x:c r="F11" s="48" t="str">
        <x:v>PREVIOUS RESULT: Pass. On local DEV, merging adjacent equal-tier cells displayed “FLUX formed!”; heat rose from 0% to 2%.
NEW RESULT: PASS; COMPLETED.
REASON: Fresh LIVE six-cell board had adjacentTierI pair. Actual merge formedTierII FLUX once: moves1/stability3/heat2 (normal4 minus TierII cooling2), in-memory rendered best rose0→10. Settled screenshot has six occupied cells: initial6 minus merged source plus exactly one low-tier spawn. Pause/Resume retained the board.
SCOPE: LIVE real merge; score corroborated by DOM-rendered best from zero baseline
V3: Pass; retained V2 evidence, not rerun. 
Session: V2-LIVE; scope: LIVE real merge; score corroborated by DOM-rendered best from zero baseline. See QA_FINALIZATION_V3_JOURNAL.json#REA-003 and HANDOFF_AND_FIX_QUEUE.md.
Retained prior verified evidence — not rerun in Final AI pass.</x:v>
      </x:c>
      <x:c r="G11" s="42"/>
      <x:c r="H11" s="42" t="str">
        <x:v>Merge two equal adjacent cells.</x:v>
      </x:c>
      <x:c r="I11" s="42" t="str">
        <x:v>Correct next tier, score/stability/cooling and one normal spawn; committed move counted once.</x:v>
      </x:c>
      <x:c r="J11" s="48" t="str">
        <x:v>C:/Users/mlgjm/OneDrive/Desktop/GameWebsite/outputs/qa-recovery-v2/QA_Evidence/live-reactor-fresh-initialize.txt; C:/Users/mlgjm/OneDrive/Desktop/GameWebsite/outputs/qa-recovery-v2/QA_Evidence/live-reactor-merge-rapid-input-queued-pause.txt; C:/Users/mlgjm/OneDrive/Desktop/GameWebsite/outputs/qa-recovery-v2/QA_Evidence/live-reactor-merge-score-dom.json; C:/Users/mlgjm/OneDrive/Desktop/GameWebsite/outputs/qa-recovery-v2/QA_Evidence/live-reactor-merge-settled.png; historical: C:/Users/mlgjm/OneDrive/Desktop/GameWebsite/outputs/qa-20261006/QA_Evidence/notes/browser-observations.md; V3 journal: C:/Users/mlgjm/OneDrive/Desktop/GameWebsite/outputs/qa-finalization-v3/QA_FINALIZATION_V3_JOURNAL.json#REA-003</x:v>
      </x:c>
      <x:c r="K11" s="48"/>
      <x:c r="L11" s="48" t="str">
        <x:v>V2-LIVE</x:v>
      </x:c>
      <x:c r="M11" s="48" t="str">
        <x:v>Codex QA</x:v>
      </x:c>
      <x:c r="N11" s="58" t="n">
        <x:v>46301</x:v>
      </x:c>
      <x:c r="O11" s="54" t="str"/>
    </x:row>
    <x:row r="12" ht="76" customHeight="1">
      <x:c r="A12" s="44" t="str">
        <x:v>REA-004</x:v>
      </x:c>
      <x:c r="B12" s="44" t="str">
        <x:v>LIVE</x:v>
      </x:c>
      <x:c r="C12" s="44" t="str">
        <x:v>P0 - Critical</x:v>
      </x:c>
      <x:c r="D12" s="44" t="str">
        <x:v>Invalid moves cost nothing</x:v>
      </x:c>
      <x:c r="E12" s="48" t="str">
        <x:v>Pass</x:v>
      </x:c>
      <x:c r="F12" s="48" t="str">
        <x:v>PREVIOUS RESULT: Pass. Selected an occupied Tier II cell and a non-adjacent empty cell; the game displayed “Choose an empty neighbor or the same tier. No diagonals.” No score or heat was added.
NEW RESULT: PASS; COMPLETED.
REASON: Normal LIVE six-cell board rejected diagonal24→19 and nonadjacent24→0 without heat/score changes. Used normal free Upgrade on24 only as prerequisite, then unequal adjacent25→24 rejected; outside click preserved same six occupied cells and Cool1/Upgrade0. Final screenshot plus DOM counters retained.
SCOPE: LIVE HTTPS
V3: Pass; retained V2 evidence, not rerun. 
Session: V2-LIVE; scope: LIVE HTTPS. See QA_FINALIZATION_V3_JOURNAL.json#REA-004 and HANDOFF_AND_FIX_QUEUE.md.
Retained prior verified evidence — not rerun in Final AI pass.</x:v>
      </x:c>
      <x:c r="G12" s="44"/>
      <x:c r="H12" s="44" t="str">
        <x:v>Try diagonal, nonadjacent and unequal-tier moves; tap outside board.</x:v>
      </x:c>
      <x:c r="I12" s="44" t="str">
        <x:v>No move/heat/score/inventory change and no random spawn.</x:v>
      </x:c>
      <x:c r="J12" s="48" t="str">
        <x:v>C:/Users/mlgjm/OneDrive/Desktop/GameWebsite/outputs/qa-recovery-v2/QA_Evidence/live-reactor-invalid-diagonal.txt; C:/Users/mlgjm/OneDrive/Desktop/GameWebsite/outputs/qa-recovery-v2/QA_Evidence/live-reactor-invalid-nonadjacent.txt; C:/Users/mlgjm/OneDrive/Desktop/GameWebsite/outputs/qa-recovery-v2/QA_Evidence/live-reactor-invalid-unequal-prerequisite.txt; C:/Users/mlgjm/OneDrive/Desktop/GameWebsite/outputs/qa-recovery-v2/QA_Evidence/live-reactor-invalid-unequal.txt; C:/Users/mlgjm/OneDrive/Desktop/GameWebsite/outputs/qa-recovery-v2/QA_Evidence/live-reactor-invalid-outside.txt; C:/Users/mlgjm/OneDrive/Desktop/GameWebsite/outputs/qa-recovery-v2/QA_Evidence/live-reactor-invalid-unchanged.png; C:/Users/mlgjm/OneDrive/Desktop/GameWebsite/outputs/qa-recovery-v2/QA_Evidence/live-reactor-invalid-counters.json; historical: C:/Users/mlgjm/OneDrive/Desktop/GameWebsite/outputs/qa-20261006/QA_Evidence/notes/browser-observations.md; V3 journal: C:/Users/mlgjm/OneDrive/Desktop/GameWebsite/outputs/qa-finalization-v3/QA_FINALIZATION_V3_JOURNAL.json#REA-004</x:v>
      </x:c>
      <x:c r="K12" s="48"/>
      <x:c r="L12" s="48" t="str">
        <x:v>V2-LIVE</x:v>
      </x:c>
      <x:c r="M12" s="48" t="str">
        <x:v>Codex QA</x:v>
      </x:c>
      <x:c r="N12" s="58" t="n">
        <x:v>46301</x:v>
      </x:c>
      <x:c r="O12" s="55" t="str"/>
    </x:row>
    <x:row r="13" ht="76" customHeight="1">
      <x:c r="A13" s="42" t="str">
        <x:v>REA-005</x:v>
      </x:c>
      <x:c r="B13" s="42" t="str">
        <x:v>LIVE</x:v>
      </x:c>
      <x:c r="C13" s="42" t="str">
        <x:v>P1 - Required</x:v>
      </x:c>
      <x:c r="D13" s="42" t="str">
        <x:v>Tier V restriction</x:v>
      </x:c>
      <x:c r="E13" s="48" t="str">
        <x:v>Pass</x:v>
      </x:c>
      <x:c r="F13" s="48" t="str">
        <x:v>PREVIOUS RESULT: Blocked. HUMAN TEST REQUIRED: Tier V restriction needs a deterministic prepared board; the Reactor game DEV shortcut/panel did not open in this session.
NEW RESULT: PASS; COMPLETED.
REASON: Permitted test-prepared Near Deadlock board with an additional empty slot: real adjacent TierV→empty move committed once with heat4/moves1 and normal spawn. Attempted adjacentV+V afterward was rejected without changing moves1/heat4/score0/stability0/occupied35. TierV still exists; no higher-tier merge.
SCOPE: LOCAL DEV real board input from permitted test-prepared prerequisite
V3: Pass; retained V2 evidence, not rerun. 
Session: V2-DEV; scope: LOCAL DEV real board input from permitted test-prepared prerequisite. See QA_FINALIZATION_V3_JOURNAL.json#REA-005 and HANDOFF_AND_FIX_QUEUE.md.
Retained prior verified evidence — not rerun in Final AI pass.</x:v>
      </x:c>
      <x:c r="G13" s="42" t="str">
        <x:v>Natural LIVE progress or cross-check using DEV fixture.</x:v>
      </x:c>
      <x:c r="H13" s="42" t="str">
        <x:v>Reach/use a test-prepared board with Tier V; try move and equal Tier V merge.</x:v>
      </x:c>
      <x:c r="I13" s="42" t="str">
        <x:v>Tier V can move into legal empty space but cannot merge further.</x:v>
      </x:c>
      <x:c r="J13" s="48" t="str">
        <x:v>C:/Users/mlgjm/OneDrive/Desktop/GameWebsite/outputs/qa-recovery-v2/QA_Evidence/reactor-tier-V-move-prerequisites.txt; C:/Users/mlgjm/OneDrive/Desktop/GameWebsite/outputs/qa-recovery-v2/QA_Evidence/reactor-tier-V-valid-move.png; C:/Users/mlgjm/OneDrive/Desktop/GameWebsite/outputs/qa-recovery-v2/QA_Evidence/reactor-tier-V-equal-merge-rejected.txt; historical: C:/Users/mlgjm/OneDrive/Desktop/GameWebsite/outputs/qa-20261006/QA_Evidence/notes/browser-observations.md; V3 journal: C:/Users/mlgjm/OneDrive/Desktop/GameWebsite/outputs/qa-finalization-v3/QA_FINALIZATION_V3_JOURNAL.json#REA-005</x:v>
      </x:c>
      <x:c r="K13" s="48"/>
      <x:c r="L13" s="48" t="str">
        <x:v>V2-DEV</x:v>
      </x:c>
      <x:c r="M13" s="48" t="str">
        <x:v>Codex QA</x:v>
      </x:c>
      <x:c r="N13" s="58" t="n">
        <x:v>46301</x:v>
      </x:c>
      <x:c r="O13" s="54" t="str"/>
    </x:row>
    <x:row r="14" ht="76" customHeight="1">
      <x:c r="A14" s="44" t="str">
        <x:v>REA-006</x:v>
      </x:c>
      <x:c r="B14" s="44" t="str">
        <x:v>LIVE</x:v>
      </x:c>
      <x:c r="C14" s="44" t="str">
        <x:v>P0 - Critical</x:v>
      </x:c>
      <x:c r="D14" s="44" t="str">
        <x:v>Input locked while resolving</x:v>
      </x:c>
      <x:c r="E14" s="48" t="str">
        <x:v>Pass</x:v>
      </x:c>
      <x:c r="F14" s="48" t="str">
        <x:v>PREVIOUS RESULT: Blocked. HUMAN / ENVIRONMENT FOLLOW-UP REQUIRED: Valid move executed; resolving-input lock timing was not separately tested. Remaining acceptance criteria were not established in this browser session; complete on the specified supported device/profile or with the missing deterministic setup, then update from direct evidence.
NEW RESULT: PASS; COMPLETED.
REASON: LIVE adjacentI+I merge followed immediately by a second source/destination input attempt and Pause settled as one turn: moves1/stability3/heat2; no second move or extra spawn. Player Resume remained functional.
SCOPE: LIVE real rapid pointer inputs during merge
V3: Pass; retained V2 evidence, not rerun. 
Session: V2-LIVE; scope: LIVE real rapid pointer inputs during merge. See QA_FINALIZATION_V3_JOURNAL.json#REA-006 and HANDOFF_AND_FIX_QUEUE.md.
Retained prior verified evidence — not rerun in Final AI pass.</x:v>
      </x:c>
      <x:c r="G14" s="44"/>
      <x:c r="H14" s="44" t="str">
        <x:v>Rapidly drag/tap again during accepted move/merge feedback.</x:v>
      </x:c>
      <x:c r="I14" s="44" t="str">
        <x:v>Only one committed turn resolves; no duplicate move, spawn or reward.</x:v>
      </x:c>
      <x:c r="J14" s="48" t="str">
        <x:v>C:/Users/mlgjm/OneDrive/Desktop/GameWebsite/outputs/qa-recovery-v2/QA_Evidence/live-reactor-merge-rapid-input-queued-pause.txt; C:/Users/mlgjm/OneDrive/Desktop/GameWebsite/outputs/qa-recovery-v2/QA_Evidence/live-reactor-merge-settled.png; historical: C:/Users/mlgjm/OneDrive/Desktop/GameWebsite/outputs/qa-20261006/QA_Evidence/notes/browser-observations.md; V3 journal: C:/Users/mlgjm/OneDrive/Desktop/GameWebsite/outputs/qa-finalization-v3/QA_FINALIZATION_V3_JOURNAL.json#REA-006</x:v>
      </x:c>
      <x:c r="K14" s="48"/>
      <x:c r="L14" s="48" t="str">
        <x:v>V2-LIVE</x:v>
      </x:c>
      <x:c r="M14" s="48" t="str">
        <x:v>Codex QA</x:v>
      </x:c>
      <x:c r="N14" s="58" t="n">
        <x:v>46301</x:v>
      </x:c>
      <x:c r="O14" s="55" t="str"/>
    </x:row>
    <x:row r="15" ht="76" customHeight="1">
      <x:c r="A15" s="42" t="str">
        <x:v>REA-007</x:v>
      </x:c>
      <x:c r="B15" s="42" t="str">
        <x:v>LIVE</x:v>
      </x:c>
      <x:c r="C15" s="42" t="str">
        <x:v>P1 - Required</x:v>
      </x:c>
      <x:c r="D15" s="42" t="str">
        <x:v>Spawn and counters</x:v>
      </x:c>
      <x:c r="E15" s="48" t="str">
        <x:v>Pass</x:v>
      </x:c>
      <x:c r="F15" s="48" t="str">
        <x:v>PREVIOUS RESULT: Pass. After a valid reposition, a cell spawned into the board; after a merge, two Tier I cells formed FLUX, score increased to 3 and heat to 2%.
NEW RESULT: PASS; COMPLETED.
REASON: LIVE normal-turn chain showed one accepted move per step, heat4→96, warning80 and clamped terminal100 atmove25. Actual first tap/drag journeys showed six→seven→eight occupied cells, one spawn each. Actual merge removed one source and added one low-tier spawn, retaining six. Terminal showed25moves and no further accepted turn.
SCOPE: LIVE accepted-turn/counter/spawn evidence
V3: Pass; retained V2 evidence, not rerun. 
Session: V2-LIVE; scope: LIVE accepted-turn/counter/spawn evidence. See QA_FINALIZATION_V3_JOURNAL.json#REA-007 and HANDOFF_AND_FIX_QUEUE.md.
Retained prior verified evidence — not rerun in Final AI pass.</x:v>
      </x:c>
      <x:c r="G15" s="42"/>
      <x:c r="H15" s="42" t="str">
        <x:v>Compare before/after several valid moves; inspect occupied count and HUD.</x:v>
      </x:c>
      <x:c r="I15" s="42" t="str">
        <x:v>Spawn occurs once only while active; values remain clamped and labels match gameplay.</x:v>
      </x:c>
      <x:c r="J15" s="48" t="str">
        <x:v>C:/Users/mlgjm/OneDrive/Desktop/GameWebsite/outputs/qa-recovery-v2/QA_Evidence/live-reactor-normal-turn-chain.json; C:/Users/mlgjm/OneDrive/Desktop/GameWebsite/outputs/qa-recovery-v2/QA_Evidence/live-reactor-phone-tap-move.png; C:/Users/mlgjm/OneDrive/Desktop/GameWebsite/outputs/qa-recovery-v2/QA_Evidence/live-reactor-phone-drag-move.png; C:/Users/mlgjm/OneDrive/Desktop/GameWebsite/outputs/qa-recovery-v2/QA_Evidence/live-reactor-merge-settled.png; C:/Users/mlgjm/OneDrive/Desktop/GameWebsite/outputs/qa-recovery-v2/QA_Evidence/live-reactor-heat-100-terminal.txt; historical: C:/Users/mlgjm/OneDrive/Desktop/GameWebsite/outputs/qa-20261006/QA_Evidence/notes/browser-observations.md; V3 journal: C:/Users/mlgjm/OneDrive/Desktop/GameWebsite/outputs/qa-finalization-v3/QA_FINALIZATION_V3_JOURNAL.json#REA-007</x:v>
      </x:c>
      <x:c r="K15" s="48"/>
      <x:c r="L15" s="48" t="str">
        <x:v>V2-LIVE</x:v>
      </x:c>
      <x:c r="M15" s="48" t="str">
        <x:v>Codex QA</x:v>
      </x:c>
      <x:c r="N15" s="58" t="n">
        <x:v>46301</x:v>
      </x:c>
      <x:c r="O15" s="54" t="str"/>
    </x:row>
    <x:row r="16" ht="76" customHeight="1">
      <x:c r="A16" s="44" t="str">
        <x:v>REA-008</x:v>
      </x:c>
      <x:c r="B16" s="44" t="str">
        <x:v>LIVE</x:v>
      </x:c>
      <x:c r="C16" s="44" t="str">
        <x:v>P0 - Critical</x:v>
      </x:c>
      <x:c r="D16" s="44" t="str">
        <x:v>Cool Core normal use</x:v>
      </x:c>
      <x:c r="E16" s="48" t="str">
        <x:v>Pass</x:v>
      </x:c>
      <x:c r="F16" s="48" t="str">
        <x:v>PREVIOUS RESULT: Pass. After a valid move raised heat to 4%, COOL Core reported a 25-point reduction; heat returned to 0% and the charge dropped to 0.
NEW RESULT: PASS; COMPLETED.
REASON: LIVE normal Cool after positive heat reduced to0 and charge1→0; no additional move/stability/visible spawn.
SCOPE: LIVE
V3: Pass; retained V2 evidence, not rerun. 
Session: V2-LIVE; scope: LIVE. See QA_FINALIZATION_V3_JOURNAL.json#REA-008 and HANDOFF_AND_FIX_QUEUE.md.
Retained prior verified evidence — not rerun in Final AI pass.</x:v>
      </x:c>
      <x:c r="G16" s="44"/>
      <x:c r="H16" s="44" t="str">
        <x:v>At positive heat, use Cool Core once; repeat with empty charge.</x:v>
      </x:c>
      <x:c r="I16" s="44" t="str">
        <x:v>Heat reduces by configured default 25 and charge decreases once; no move/score/stability/spawn change.</x:v>
      </x:c>
      <x:c r="J16" s="48" t="str">
        <x:v>C:/Users/mlgjm/OneDrive/Desktop/GameWebsite/outputs/qa-recovery-v2/QA_Evidence/live-reactor-cool-positive.txt; historical: C:/Users/mlgjm/OneDrive/Desktop/GameWebsite/outputs/qa-20261006/QA_Evidence/notes/browser-observations.md; V3 journal: C:/Users/mlgjm/OneDrive/Desktop/GameWebsite/outputs/qa-finalization-v3/QA_FINALIZATION_V3_JOURNAL.json#REA-008</x:v>
      </x:c>
      <x:c r="K16" s="48"/>
      <x:c r="L16" s="48" t="str">
        <x:v>V2-LIVE</x:v>
      </x:c>
      <x:c r="M16" s="48" t="str">
        <x:v>Codex QA</x:v>
      </x:c>
      <x:c r="N16" s="58" t="n">
        <x:v>46301</x:v>
      </x:c>
      <x:c r="O16" s="55" t="str"/>
    </x:row>
    <x:row r="17" ht="76" customHeight="1">
      <x:c r="A17" s="42" t="str">
        <x:v>REA-009</x:v>
      </x:c>
      <x:c r="B17" s="42" t="str">
        <x:v>LIVE</x:v>
      </x:c>
      <x:c r="C17" s="42" t="str">
        <x:v>P1 - Required</x:v>
      </x:c>
      <x:c r="D17" s="42" t="str">
        <x:v>Cool at zero heat</x:v>
      </x:c>
      <x:c r="E17" s="48" t="str">
        <x:v>Pass</x:v>
      </x:c>
      <x:c r="F17" s="48" t="str">
        <x:v>PREVIOUS RESULT: Pass. At 0% heat, COOL 1 displayed “Heat is already stable.” Heat remained 0%.
NEW RESULT: PASS; COMPLETED.
REASON: LIVE Cool at zero displayed Heat is already stable; COOL1 remained, no ad CTA/presentation.
SCOPE: LIVE
V3: Pass; retained V2 evidence, not rerun. 
Session: V2-LIVE; scope: LIVE. See QA_FINALIZATION_V3_JOURNAL.json#REA-009 and HANDOFF_AND_FIX_QUEUE.md.
Retained prior verified evidence — not rerun in Final AI pass.</x:v>
      </x:c>
      <x:c r="G17" s="42"/>
      <x:c r="H17" s="42" t="str">
        <x:v>With full initial charge and zero heat, press Cool.</x:v>
      </x:c>
      <x:c r="I17" s="42" t="str">
        <x:v>No waste of charge when cooling is invalid; clear feedback; no ad on public Null.</x:v>
      </x:c>
      <x:c r="J17" s="48" t="str">
        <x:v>C:/Users/mlgjm/OneDrive/Desktop/GameWebsite/outputs/qa-recovery-v2/QA_Evidence/live-reactor-cool-zero.txt; historical: C:/Users/mlgjm/OneDrive/Desktop/GameWebsite/outputs/qa-20261006/QA_Evidence/notes/browser-observations.md; V3 journal: C:/Users/mlgjm/OneDrive/Desktop/GameWebsite/outputs/qa-finalization-v3/QA_FINALIZATION_V3_JOURNAL.json#REA-009</x:v>
      </x:c>
      <x:c r="K17" s="48"/>
      <x:c r="L17" s="48" t="str">
        <x:v>V2-LIVE</x:v>
      </x:c>
      <x:c r="M17" s="48" t="str">
        <x:v>Codex QA</x:v>
      </x:c>
      <x:c r="N17" s="58" t="n">
        <x:v>46301</x:v>
      </x:c>
      <x:c r="O17" s="54" t="str"/>
    </x:row>
    <x:row r="18" ht="76" customHeight="1">
      <x:c r="A18" s="44" t="str">
        <x:v>REA-010</x:v>
      </x:c>
      <x:c r="B18" s="44" t="str">
        <x:v>LIVE</x:v>
      </x:c>
      <x:c r="C18" s="44" t="str">
        <x:v>P0 - Critical</x:v>
      </x:c>
      <x:c r="D18" s="44" t="str">
        <x:v>Upgrade targeting and cancel</x:v>
      </x:c>
      <x:c r="E18" s="48" t="str">
        <x:v>Pass</x:v>
      </x:c>
      <x:c r="F18" s="48" t="str">
        <x:v>PREVIOUS RESULT: Pass. Upgrade rejected an empty target without consuming the charge, canceled on a second press, then upgraded a Tier I cell. HUD reported no heat or move added; charge decreased from 1 to 0.
NEW RESULT: PASS; COMPLETED.
REASON: LIVE arming/cancel retained Upgrade1; invalid empty target retained charge; valid TierI cell upgraded with charge0 and no extra move/heat.
SCOPE: LIVE
V3: Pass; retained V2 evidence, not rerun. 
Session: V2-LIVE; scope: LIVE. See QA_FINALIZATION_V3_JOURNAL.json#REA-010 and HANDOFF_AND_FIX_QUEUE.md.
Retained prior verified evidence — not rerun in Final AI pass.</x:v>
      </x:c>
      <x:c r="G18" s="44"/>
      <x:c r="H18" s="44" t="str">
        <x:v>Arm Upgrade; choose valid Tier I–IV cell. In another run arm/cancel without selecting.</x:v>
      </x:c>
      <x:c r="I18" s="44" t="str">
        <x:v>Valid cell gains one tier; one charge used. Arming/cancelling does not consume charge.</x:v>
      </x:c>
      <x:c r="J18" s="48" t="str">
        <x:v>C:/Users/mlgjm/OneDrive/Desktop/GameWebsite/outputs/qa-recovery-v2/QA_Evidence/live-reactor-upgrade-cancel.txt; C:/Users/mlgjm/OneDrive/Desktop/GameWebsite/outputs/qa-recovery-v2/QA_Evidence/live-reactor-upgrade-invalid.txt; C:/Users/mlgjm/OneDrive/Desktop/GameWebsite/outputs/qa-recovery-v2/QA_Evidence/live-reactor-upgrade-valid.txt; historical: C:/Users/mlgjm/OneDrive/Desktop/GameWebsite/outputs/qa-20261006/QA_Evidence/notes/browser-observations.md; V3 journal: C:/Users/mlgjm/OneDrive/Desktop/GameWebsite/outputs/qa-finalization-v3/QA_FINALIZATION_V3_JOURNAL.json#REA-010</x:v>
      </x:c>
      <x:c r="K18" s="48"/>
      <x:c r="L18" s="48" t="str">
        <x:v>V2-LIVE</x:v>
      </x:c>
      <x:c r="M18" s="48" t="str">
        <x:v>Codex QA</x:v>
      </x:c>
      <x:c r="N18" s="58" t="n">
        <x:v>46301</x:v>
      </x:c>
      <x:c r="O18" s="55" t="str"/>
    </x:row>
    <x:row r="19" ht="76" customHeight="1">
      <x:c r="A19" s="42" t="str">
        <x:v>REA-011</x:v>
      </x:c>
      <x:c r="B19" s="42" t="str">
        <x:v>LIVE</x:v>
      </x:c>
      <x:c r="C19" s="42" t="str">
        <x:v>P1 - Required</x:v>
      </x:c>
      <x:c r="D19" s="42" t="str">
        <x:v>Upgrade invalid target</x:v>
      </x:c>
      <x:c r="E19" s="48" t="str">
        <x:v>Pass</x:v>
      </x:c>
      <x:c r="F19" s="48" t="str">
        <x:v>PREVIOUS RESULT: Pass. With Upgrade armed, selecting an invalid empty target showed “Upgrade a Tier I–IV reactor cell. Tier V is already maximum.” and did not consume the charge.
NEW RESULT: PASS; COMPLETED.
REASON: LIVE empty upgrade target rejected; charge1 and current board/move/heat counters unchanged.
SCOPE: LIVE
V3: Pass; retained V2 evidence, not rerun. 
Session: V2-LIVE; scope: LIVE. See QA_FINALIZATION_V3_JOURNAL.json#REA-011 and HANDOFF_AND_FIX_QUEUE.md.
Retained prior verified evidence — not rerun in Final AI pass.</x:v>
      </x:c>
      <x:c r="G19" s="42"/>
      <x:c r="H19" s="42" t="str">
        <x:v>With charge, target empty, outside and Tier V cells.</x:v>
      </x:c>
      <x:c r="I19" s="42" t="str">
        <x:v>No charge consumption, new turn or spawn on invalid target.</x:v>
      </x:c>
      <x:c r="J19" s="48" t="str">
        <x:v>C:/Users/mlgjm/OneDrive/Desktop/GameWebsite/outputs/qa-recovery-v2/QA_Evidence/live-reactor-upgrade-invalid.txt; historical: C:/Users/mlgjm/OneDrive/Desktop/GameWebsite/outputs/qa-20261006/QA_Evidence/notes/browser-observations.md; V3 journal: C:/Users/mlgjm/OneDrive/Desktop/GameWebsite/outputs/qa-finalization-v3/QA_FINALIZATION_V3_JOURNAL.json#REA-011</x:v>
      </x:c>
      <x:c r="K19" s="48"/>
      <x:c r="L19" s="48" t="str">
        <x:v>V2-LIVE</x:v>
      </x:c>
      <x:c r="M19" s="48" t="str">
        <x:v>Codex QA</x:v>
      </x:c>
      <x:c r="N19" s="58" t="n">
        <x:v>46301</x:v>
      </x:c>
      <x:c r="O19" s="54" t="str"/>
    </x:row>
    <x:row r="20" ht="76" customHeight="1">
      <x:c r="A20" s="44" t="str">
        <x:v>REA-012</x:v>
      </x:c>
      <x:c r="B20" s="44" t="str">
        <x:v>LIVE</x:v>
      </x:c>
      <x:c r="C20" s="44" t="str">
        <x:v>P0 - Critical</x:v>
      </x:c>
      <x:c r="D20" s="44" t="str">
        <x:v>Normal pause / resume</x:v>
      </x:c>
      <x:c r="E20" s="48" t="str">
        <x:v>Pass</x:v>
      </x:c>
      <x:c r="F20" s="48" t="str">
        <x:v>PREVIOUS RESULT: Pass. Local DEV pause exposed RESUME, SOUND ON, RESTART RUN and MAIN MENU; prior local DEV session resumed successfully. This turn also restarted and verified heat 0% and starting Cool/Upgrade charges restored to 1.
NEW RESULT: PASS; COMPLETED.
REASON: LIVE Pause and Resume returned unchanged0heat/0stability/0moves and inventories1/1; no ad or mock CTA.
SCOPE: LIVE
V3: Pass; retained V2 evidence, not rerun. 
Session: V2-LIVE; scope: LIVE. See QA_FINALIZATION_V3_JOURNAL.json#REA-012 and HANDOFF_AND_FIX_QUEUE.md.
Retained prior verified evidence — not rerun in Final AI pass.</x:v>
      </x:c>
      <x:c r="G20" s="44"/>
      <x:c r="H20" s="44" t="str">
        <x:v>Pause in a stable live state; wait; resume.</x:v>
      </x:c>
      <x:c r="I20" s="44" t="str">
        <x:v>Board/state remain unchanged; Resume restores play; no actual ads in LIVE.</x:v>
      </x:c>
      <x:c r="J20" s="48" t="str">
        <x:v>C:/Users/mlgjm/OneDrive/Desktop/GameWebsite/outputs/qa-recovery-v2/QA_Evidence/live-reactor-pause-v2.txt; C:/Users/mlgjm/OneDrive/Desktop/GameWebsite/outputs/qa-recovery-v2/QA_Evidence/live-reactor-resume-v2.txt; historical: C:/Users/mlgjm/OneDrive/Desktop/GameWebsite/outputs/qa-20261006/QA_Evidence/notes/browser-observations.md; V3 journal: C:/Users/mlgjm/OneDrive/Desktop/GameWebsite/outputs/qa-finalization-v3/QA_FINALIZATION_V3_JOURNAL.json#REA-012</x:v>
      </x:c>
      <x:c r="K20" s="48"/>
      <x:c r="L20" s="48" t="str">
        <x:v>V2-LIVE</x:v>
      </x:c>
      <x:c r="M20" s="48" t="str">
        <x:v>Codex QA</x:v>
      </x:c>
      <x:c r="N20" s="58" t="n">
        <x:v>46301</x:v>
      </x:c>
      <x:c r="O20" s="55" t="str"/>
    </x:row>
    <x:row r="21" ht="76" customHeight="1">
      <x:c r="A21" s="42" t="str">
        <x:v>REA-013</x:v>
      </x:c>
      <x:c r="B21" s="42" t="str">
        <x:v>LIVE</x:v>
      </x:c>
      <x:c r="C21" s="42" t="str">
        <x:v>P0 - Critical</x:v>
      </x:c>
      <x:c r="D21" s="42" t="str">
        <x:v>Pause during animated move</x:v>
      </x:c>
      <x:c r="E21" s="48" t="str">
        <x:v>Pass</x:v>
      </x:c>
      <x:c r="F21" s="48" t="str">
        <x:v>PREVIOUS RESULT: Blocked. HUMAN TEST REQUIRED: Pausing during the merge animation needs precise timing on a prepared merge board.
NEW RESULT: PASS; COMPLETED.
REASON: LIVE Pause pressed immediately after a real adjacentI+I merge. Committed move finished once and transitioned PAUSED with moves1/stability3/heat2; normal Resume restored play. No stuck resolution or extra turn. Targeted long-duration DEV merge independently checks queued flag/tweens clear.
SCOPE: LIVE normal merge/Pause + targeted DEV lock readouts
V3: Pass; retained V2 evidence, not rerun. 
Session: V2-LIVE; scope: LIVE normal merge/Pause + targeted DEV lock readouts. See QA_FINALIZATION_V3_JOURNAL.json#REA-013 and HANDOFF_AND_FIX_QUEUE.md.
Retained prior verified evidence — not rerun in Final AI pass.</x:v>
      </x:c>
      <x:c r="G21" s="42"/>
      <x:c r="H21" s="42" t="str">
        <x:v>Press Pause immediately after committing a merge.</x:v>
      </x:c>
      <x:c r="I21" s="42" t="str">
        <x:v>Committed move finishes once, then pauses. No extra spawn/heat or stuck RESOLVING phase.</x:v>
      </x:c>
      <x:c r="J21" s="48" t="str">
        <x:v>C:/Users/mlgjm/OneDrive/Desktop/GameWebsite/outputs/qa-recovery-v2/QA_Evidence/live-reactor-merge-rapid-input-queued-pause.txt; C:/Users/mlgjm/OneDrive/Desktop/GameWebsite/outputs/qa-recovery-v2/QA_Evidence/live-reactor-merge-settled.png; C:/Users/mlgjm/OneDrive/Desktop/GameWebsite/outputs/qa-recovery-v2/QA_Evidence/reactor-nonterminal-merge-settled.txt; historical: C:/Users/mlgjm/OneDrive/Desktop/GameWebsite/outputs/qa-20261006/QA_Evidence/notes/browser-observations.md; V3 journal: C:/Users/mlgjm/OneDrive/Desktop/GameWebsite/outputs/qa-finalization-v3/QA_FINALIZATION_V3_JOURNAL.json#REA-013</x:v>
      </x:c>
      <x:c r="K21" s="48"/>
      <x:c r="L21" s="48" t="str">
        <x:v>V2-LIVE</x:v>
      </x:c>
      <x:c r="M21" s="48" t="str">
        <x:v>Codex QA</x:v>
      </x:c>
      <x:c r="N21" s="58" t="n">
        <x:v>46301</x:v>
      </x:c>
      <x:c r="O21" s="54" t="str"/>
    </x:row>
    <x:row r="22" ht="76" customHeight="1">
      <x:c r="A22" s="44" t="str">
        <x:v>REA-014</x:v>
      </x:c>
      <x:c r="B22" s="44" t="str">
        <x:v>LIVE</x:v>
      </x:c>
      <x:c r="C22" s="44" t="str">
        <x:v>P1 - Required</x:v>
      </x:c>
      <x:c r="D22" s="44" t="str">
        <x:v>Pause-menu Restart</x:v>
      </x:c>
      <x:c r="E22" s="48" t="str">
        <x:v>Pass</x:v>
      </x:c>
      <x:c r="F22" s="48" t="str">
        <x:v>PREVIOUS RESULT: Pass. Pause-menu RESTART RUN returned the board to a clean initialized state with CORE HEAT 0%.
NEW RESULT: PASS; COMPLETED.
REASON: LIVE Pause-menu Restart returned a clean initialized board and zero temporary HUD, inventories1/1; no ad interruption.
SCOPE: LIVE
V3: Pass; retained V2 evidence, not rerun. 
Session: V2-LIVE; scope: LIVE. See QA_FINALIZATION_V3_JOURNAL.json#REA-014 and HANDOFF_AND_FIX_QUEUE.md.
Retained prior verified evidence — not rerun in Final AI pass.</x:v>
      </x:c>
      <x:c r="G22" s="44"/>
      <x:c r="H22" s="44" t="str">
        <x:v>Use RESTART RUN in Pause.</x:v>
      </x:c>
      <x:c r="I22" s="44" t="str">
        <x:v>A fresh board/run is created once with one charge each and reset temporary counters.</x:v>
      </x:c>
      <x:c r="J22" s="48" t="str">
        <x:v>C:/Users/mlgjm/OneDrive/Desktop/GameWebsite/outputs/qa-recovery-v2/QA_Evidence/live-reactor-restart-v2.txt; historical: C:/Users/mlgjm/OneDrive/Desktop/GameWebsite/outputs/qa-20261006/QA_Evidence/notes/browser-observations.md; V3 journal: C:/Users/mlgjm/OneDrive/Desktop/GameWebsite/outputs/qa-finalization-v3/QA_FINALIZATION_V3_JOURNAL.json#REA-014</x:v>
      </x:c>
      <x:c r="K22" s="48"/>
      <x:c r="L22" s="48" t="str">
        <x:v>V2-LIVE</x:v>
      </x:c>
      <x:c r="M22" s="48" t="str">
        <x:v>Codex QA</x:v>
      </x:c>
      <x:c r="N22" s="58" t="n">
        <x:v>46301</x:v>
      </x:c>
      <x:c r="O22" s="55" t="str"/>
    </x:row>
    <x:row r="23" ht="76" customHeight="1">
      <x:c r="A23" s="42" t="str">
        <x:v>REA-015</x:v>
      </x:c>
      <x:c r="B23" s="42" t="str">
        <x:v>LIVE</x:v>
      </x:c>
      <x:c r="C23" s="42" t="str">
        <x:v>P1 - Required</x:v>
      </x:c>
      <x:c r="D23" s="42" t="str">
        <x:v>Main menu from pause</x:v>
      </x:c>
      <x:c r="E23" s="48" t="str">
        <x:v>Pass</x:v>
      </x:c>
      <x:c r="F23" s="48" t="str">
        <x:v>PREVIOUS RESULT: Pass. Pause-menu MAIN MENU returned to the initial Reactor Stack menu and exposed INITIALIZE REACTOR.
NEW RESULT: PARTIAL; RUNNABLE.
REASON: LIVE Pause-menu Main Menu returned INITIALIZE REACTOR within same website route. No win/loss result fabricated. Score-list comparison still pending.
SCOPE: LIVE
V3: Pass. LIVE Scores initially one entry:0/25MOVES/FAIL. Close, Pause, Main Menu returned INITIALIZE on same site route, no result; reinitialize and Scores still exactly same one entry. No abandoned-run fabricated win/loss/save, stale overlay or navigation.
Session: V3-LIVE; scope: LIVE HTTPS; native in-app Chromium; V3 observed views. See QA_FINALIZATION_V3_JOURNAL.json#REA-015 and HANDOFF_AND_FIX_QUEUE.md.
Retained prior verified evidence — not rerun in Final AI pass.</x:v>
      </x:c>
      <x:c r="G23" s="42"/>
      <x:c r="H23" s="42" t="str">
        <x:v>Return to Main Menu and Initialize again.</x:v>
      </x:c>
      <x:c r="I23" s="42" t="str">
        <x:v>No website navigation; stale gestures/effects gone; no fabricated win/loss score for abandoned run.</x:v>
      </x:c>
      <x:c r="J23" s="48" t="str">
        <x:v>C:/Users/mlgjm/OneDrive/Desktop/GameWebsite/outputs/qa-recovery-v2/QA_Evidence/live-reactor-main-menu-v2.txt; historical: C:/Users/mlgjm/OneDrive/Desktop/GameWebsite/outputs/qa-20261006/QA_Evidence/notes/browser-observations.md; NEW V3: C:/Users/mlgjm/OneDrive/Desktop/GameWebsite/outputs/qa-finalization-v3/QA_Evidence/reactor-abandon-scores-before.txt; C:/Users/mlgjm/OneDrive/Desktop/GameWebsite/outputs/qa-finalization-v3/QA_Evidence/reactor-abandon-menu.txt; C:/Users/mlgjm/OneDrive/Desktop/GameWebsite/outputs/qa-finalization-v3/QA_Evidence/reactor-abandon-scores-after.txt; C:/Users/mlgjm/OneDrive/Desktop/GameWebsite/outputs/qa-finalization-v3/QA_Evidence/reactor-abandon-scores-after.png; V3 journal: C:/Users/mlgjm/OneDrive/Desktop/GameWebsite/outputs/qa-finalization-v3/QA_FINALIZATION_V3_JOURNAL.json#REA-015</x:v>
      </x:c>
      <x:c r="K23" s="48"/>
      <x:c r="L23" s="48" t="str">
        <x:v>V3-LIVE</x:v>
      </x:c>
      <x:c r="M23" s="48" t="str">
        <x:v>Codex QA</x:v>
      </x:c>
      <x:c r="N23" s="58" t="n">
        <x:v>46301</x:v>
      </x:c>
      <x:c r="O23" s="54" t="str"/>
    </x:row>
    <x:row r="24" ht="76" customHeight="1">
      <x:c r="A24" s="44" t="str">
        <x:v>REA-016</x:v>
      </x:c>
      <x:c r="B24" s="44" t="str">
        <x:v>LIVE</x:v>
      </x:c>
      <x:c r="C24" s="44" t="str">
        <x:v>P1 - Required</x:v>
      </x:c>
      <x:c r="D24" s="44" t="str">
        <x:v>Win at stability goal</x:v>
      </x:c>
      <x:c r="E24" s="48" t="str">
        <x:v>Pass</x:v>
      </x:c>
      <x:c r="F24" s="48" t="str">
        <x:v>PREVIOUS RESULT: Blocked. HUMAN TEST REQUIRED: Win at the stability goal requires a long deterministic puzzle progression or a DEV near-victory fixture.
NEW RESULT: PASS; COMPLETED.
REASON: Permitted targeted DEV Near Victory seeded76stability and adjacentIV prerequisites; real merge reached100 with score200/moves1, WIN/result and exactly one completed session record. Terminal board contained only mergedCORE, no random spawn. Separate terminal queued-Pause journey confirms no pause ad or duplicate finalization.
SCOPE: LOCAL DEV targeted real terminal turn explicitly permitted by row
V3: Pass; retained V2 evidence, not rerun. 
Session: V2-DEV; scope: LOCAL DEV targeted real terminal turn explicitly permitted by row. See QA_FINALIZATION_V3_JOURNAL.json#REA-016 and HANDOFF_AND_FIX_QUEUE.md.
Retained prior verified evidence — not rerun in Final AI pass.</x:v>
      </x:c>
      <x:c r="G24" s="44"/>
      <x:c r="H24" s="44" t="str">
        <x:v>Reach stability target; use DEV Near Victory for targeted duplicate verification.</x:v>
      </x:c>
      <x:c r="I24" s="44" t="str">
        <x:v>Correct win/result, one score record; terminal turn does not get an extra random spawn.</x:v>
      </x:c>
      <x:c r="J24" s="48" t="str">
        <x:v>C:/Users/mlgjm/OneDrive/Desktop/GameWebsite/outputs/qa-recovery-v2/QA_Evidence/reactor-victory-diagnostics.txt; C:/Users/mlgjm/OneDrive/Desktop/GameWebsite/outputs/qa-recovery-v2/QA_Evidence/reactor-terminal-queued-result-dom.txt; C:/Users/mlgjm/OneDrive/Desktop/GameWebsite/outputs/qa-recovery-v2/QA_Evidence/reactor-terminal-queued-events.txt; C:/Users/mlgjm/OneDrive/Desktop/GameWebsite/outputs/qa-recovery-v2/QA_Evidence/reactor-real-result-before-reinitialize.txt; historical: C:/Users/mlgjm/OneDrive/Desktop/GameWebsite/outputs/qa-20261006/QA_Evidence/notes/browser-observations.md; V3 journal: C:/Users/mlgjm/OneDrive/Desktop/GameWebsite/outputs/qa-finalization-v3/QA_FINALIZATION_V3_JOURNAL.json#REA-016</x:v>
      </x:c>
      <x:c r="K24" s="48"/>
      <x:c r="L24" s="48" t="str">
        <x:v>V2-DEV</x:v>
      </x:c>
      <x:c r="M24" s="48" t="str">
        <x:v>Codex QA</x:v>
      </x:c>
      <x:c r="N24" s="58" t="n">
        <x:v>46301</x:v>
      </x:c>
      <x:c r="O24" s="55" t="str"/>
    </x:row>
    <x:row r="25" ht="76" customHeight="1">
      <x:c r="A25" s="42" t="str">
        <x:v>REA-017</x:v>
      </x:c>
      <x:c r="B25" s="42" t="str">
        <x:v>LIVE</x:v>
      </x:c>
      <x:c r="C25" s="42" t="str">
        <x:v>P1 - Required</x:v>
      </x:c>
      <x:c r="D25" s="42" t="str">
        <x:v>Heat failure</x:v>
      </x:c>
      <x:c r="E25" s="48" t="str">
        <x:v>Pass</x:v>
      </x:c>
      <x:c r="F25" s="48" t="str">
        <x:v>PREVIOUS RESULT: Blocked. HUMAN TEST REQUIRED: Heat failure requires a controlled high-heat board/run; no deterministic Reactor fixture was available.
NEW RESULT: PASS; COMPLETED.
REASON: LIVE accepted25 normal adjacent moves: heat progressed4→96, warning at80; move25 reached100 and produced CORE OVERLOAD / Score0 /25moves once. Result overlay blocks board input. Actual REINITIALIZE REACTOR returned fresh six-cell0-state/one free power each.
SCOPE: LIVE normal heat boundary and player reinitialize
V3: Pass; retained V2 evidence, not rerun. 
Session: V2-LIVE; scope: LIVE normal heat boundary and player reinitialize. See QA_FINALIZATION_V3_JOURNAL.json#REA-017 and HANDOFF_AND_FIX_QUEUE.md.
Retained prior verified evidence — not rerun in Final AI pass.</x:v>
      </x:c>
      <x:c r="G25" s="42"/>
      <x:c r="H25" s="42" t="str">
        <x:v>Reach maximum heat through play or targeted DEV verification.</x:v>
      </x:c>
      <x:c r="I25" s="42" t="str">
        <x:v>Containment failure appears once; no further board input; Reinitialize works.</x:v>
      </x:c>
      <x:c r="J25" s="48" t="str">
        <x:v>C:/Users/mlgjm/OneDrive/Desktop/GameWebsite/outputs/qa-recovery-v2/QA_Evidence/live-reactor-normal-turn-chain.json; C:/Users/mlgjm/OneDrive/Desktop/GameWebsite/outputs/qa-recovery-v2/QA_Evidence/live-reactor-heat-100-terminal.txt; C:/Users/mlgjm/OneDrive/Desktop/GameWebsite/outputs/qa-recovery-v2/QA_Evidence/live-reactor-heat-100-terminal.png; C:/Users/mlgjm/OneDrive/Desktop/GameWebsite/outputs/qa-recovery-v2/QA_Evidence/live-reactor-real-reinitialize.txt; historical: C:/Users/mlgjm/OneDrive/Desktop/GameWebsite/outputs/qa-20261006/QA_Evidence/notes/browser-observations.md; V3 journal: C:/Users/mlgjm/OneDrive/Desktop/GameWebsite/outputs/qa-finalization-v3/QA_FINALIZATION_V3_JOURNAL.json#REA-017</x:v>
      </x:c>
      <x:c r="K25" s="48"/>
      <x:c r="L25" s="48" t="str">
        <x:v>V2-LIVE</x:v>
      </x:c>
      <x:c r="M25" s="48" t="str">
        <x:v>Codex QA</x:v>
      </x:c>
      <x:c r="N25" s="58" t="n">
        <x:v>46301</x:v>
      </x:c>
      <x:c r="O25" s="54" t="str"/>
    </x:row>
    <x:row r="26" ht="76" customHeight="1">
      <x:c r="A26" s="44" t="str">
        <x:v>REA-018</x:v>
      </x:c>
      <x:c r="B26" s="44" t="str">
        <x:v>LIVE</x:v>
      </x:c>
      <x:c r="C26" s="44" t="str">
        <x:v>P1 - Required</x:v>
      </x:c>
      <x:c r="D26" s="44" t="str">
        <x:v>Deadlock failure</x:v>
      </x:c>
      <x:c r="E26" s="48" t="str">
        <x:v>Pass</x:v>
      </x:c>
      <x:c r="F26" s="48" t="str">
        <x:v>PREVIOUS RESULT: Blocked. HUMAN TEST REQUIRED: Deadlock failure requires a prepared full board without legal actions.
NEW RESULT: PASS; COMPLETED.
REASON: Permitted deterministic DEV Full Deadlock filled36TierV cells with zero legal actions; Re-evaluate produced RESULT/FAIL deadlock. Near Deadlock retained35occupied/3legal actions instead. Normal terminal UI is independently confirmed by LIVE heat failure.
SCOPE: LOCAL DEV deterministic deadlock fixture and real lifecycle
V3: Pass; retained V2 evidence, not rerun. 
Session: V2-DEV; scope: LOCAL DEV deterministic deadlock fixture and real lifecycle. See QA_FINALIZATION_V3_JOURNAL.json#REA-018 and HANDOFF_AND_FIX_QUEUE.md.
Retained prior verified evidence — not rerun in Final AI pass.</x:v>
      </x:c>
      <x:c r="G26" s="44"/>
      <x:c r="H26" s="44" t="str">
        <x:v>Fill a board without legal actions; use DEV fixture for deterministic verification.</x:v>
      </x:c>
      <x:c r="I26" s="44" t="str">
        <x:v>Failure detected; no stuck playable-looking state with all input ineffective.</x:v>
      </x:c>
      <x:c r="J26" s="48" t="str">
        <x:v>C:/Users/mlgjm/OneDrive/Desktop/GameWebsite/outputs/qa-recovery-v2/QA_Evidence/reactor-deadlock-reevaluated.txt; C:/Users/mlgjm/OneDrive/Desktop/GameWebsite/outputs/qa-recovery-v2/QA_Evidence/reactor-near-deadlock.txt; C:/Users/mlgjm/OneDrive/Desktop/GameWebsite/outputs/qa-recovery-v2/QA_Evidence/live-reactor-heat-100-terminal.txt; historical: C:/Users/mlgjm/OneDrive/Desktop/GameWebsite/outputs/qa-20261006/QA_Evidence/notes/browser-observations.md; V3 journal: C:/Users/mlgjm/OneDrive/Desktop/GameWebsite/outputs/qa-finalization-v3/QA_FINALIZATION_V3_JOURNAL.json#REA-018</x:v>
      </x:c>
      <x:c r="K26" s="48"/>
      <x:c r="L26" s="48" t="str">
        <x:v>V2-DEV</x:v>
      </x:c>
      <x:c r="M26" s="48" t="str">
        <x:v>Codex QA</x:v>
      </x:c>
      <x:c r="N26" s="58" t="n">
        <x:v>46301</x:v>
      </x:c>
      <x:c r="O26" s="55" t="str"/>
    </x:row>
    <x:row r="27" ht="76" customHeight="1">
      <x:c r="A27" s="42" t="str">
        <x:v>REA-019</x:v>
      </x:c>
      <x:c r="B27" s="42" t="str">
        <x:v>LOCAL DEV</x:v>
      </x:c>
      <x:c r="C27" s="42" t="str">
        <x:v>P1 - Required</x:v>
      </x:c>
      <x:c r="D27" s="42" t="str">
        <x:v>Result precedence</x:v>
      </x:c>
      <x:c r="E27" s="48" t="str">
        <x:v>Pass</x:v>
      </x:c>
      <x:c r="F27" s="48" t="str">
        <x:v>PREVIOUS RESULT: Blocked. HUMAN TEST REQUIRED: Result-precedence simultaneous thresholds require a deterministic DEV fixture; do not manipulate a user score profile.
NEW RESULT: PASS; COMPLETED.
REASON: Explicitly permitted deterministic DEV setup: Near Victory seeded76stability/twoIV cells; live Maximum Heat4 and TierV Cooling0 made a real merge reach heat4/4 and stability100/100 together. Actual phaseRESULT/WIN, score200/move1/occupied1, no extra spawn or ad; win precedence retained.
SCOPE: LOCAL DEV targeted real simultaneous-threshold turn
V3: Pass; retained V2 evidence, not rerun. 
Session: V2-DEV; scope: LOCAL DEV targeted real simultaneous-threshold turn. See QA_FINALIZATION_V3_JOURNAL.json#REA-019 and HANDOFF_AND_FIX_QUEUE.md.
Retained prior verified evidence — not rerun in Final AI pass.</x:v>
      </x:c>
      <x:c r="G27" s="42" t="str">
        <x:v>Record linked DEV evidence; technical regression, not live manipulation.</x:v>
      </x:c>
      <x:c r="H27" s="42" t="str">
        <x:v>Use deterministic DEV test to reach stability and heat thresholds together.</x:v>
      </x:c>
      <x:c r="I27" s="42" t="str">
        <x:v>Existing rules award win when both thresholds are reached; no ad or UI change rewrites this rule.</x:v>
      </x:c>
      <x:c r="J27" s="48" t="str">
        <x:v>C:/Users/mlgjm/OneDrive/Desktop/GameWebsite/outputs/qa-recovery-v2/QA_Evidence/reactor-simultaneous-threshold-prerequisites.txt; C:/Users/mlgjm/OneDrive/Desktop/GameWebsite/outputs/qa-recovery-v2/QA_Evidence/reactor-simultaneous-threshold-win.txt; C:/Users/mlgjm/OneDrive/Desktop/GameWebsite/outputs/qa-recovery-v2/QA_Evidence/reactor-simultaneous-threshold-win.png; historical: C:/Users/mlgjm/OneDrive/Desktop/GameWebsite/outputs/qa-20261006/QA_Evidence/notes/browser-observations.md; V3 journal: C:/Users/mlgjm/OneDrive/Desktop/GameWebsite/outputs/qa-finalization-v3/QA_FINALIZATION_V3_JOURNAL.json#REA-019</x:v>
      </x:c>
      <x:c r="K27" s="48"/>
      <x:c r="L27" s="48" t="str">
        <x:v>V2-DEV</x:v>
      </x:c>
      <x:c r="M27" s="48" t="str">
        <x:v>Codex QA</x:v>
      </x:c>
      <x:c r="N27" s="58" t="n">
        <x:v>46301</x:v>
      </x:c>
      <x:c r="O27" s="54" t="str"/>
    </x:row>
    <x:row r="28" ht="76" customHeight="1">
      <x:c r="A28" s="44" t="str">
        <x:v>REA-020</x:v>
      </x:c>
      <x:c r="B28" s="44" t="str">
        <x:v>LIVE</x:v>
      </x:c>
      <x:c r="C28" s="44" t="str">
        <x:v>P0 - Critical</x:v>
      </x:c>
      <x:c r="D28" s="44" t="str">
        <x:v>Scores and persistence</x:v>
      </x:c>
      <x:c r="E28" s="48" t="str">
        <x:v>Pass</x:v>
      </x:c>
      <x:c r="F28" s="48" t="str">
        <x:v>PREVIOUS RESULT: Blocked. HUMAN TEST REQUIRED: Score persistence requires completing a full puzzle run and writing a local record; use an isolated profile.
NEW RESULT: PASS; COMPLETED.
REASON: LIVE real heat-terminal run stored one score0/25moves/FAIL entry. Reinitializing and opening Local Scores showed it; reload returned Initialize menu rather than an active board, and after normal Initialize the same single record persisted. Best0 agrees with this baseline. Only one-entry sort observed in LIVE; multi-record sorted order is separately observed in targeted DEV terminal journeys.
SCOPE: LIVE persistence with targeted DEV multiple-record ordering
V3: Pass; retained V2 evidence, not rerun. 
Session: V2-LIVE; scope: LIVE persistence with targeted DEV multiple-record ordering. See QA_FINALIZATION_V3_JOURNAL.json#REA-020 and HANDOFF_AND_FIX_QUEUE.md.
Retained prior verified evidence — not rerun in Final AI pass.</x:v>
      </x:c>
      <x:c r="G28" s="44"/>
      <x:c r="H28" s="44" t="str">
        <x:v>Finish a run, open Local Scores, refresh.</x:v>
      </x:c>
      <x:c r="I28" s="44" t="str">
        <x:v>Sorted local completed-run records and best persist; active board intentionally not restored.</x:v>
      </x:c>
      <x:c r="J28" s="48" t="str">
        <x:v>C:/Users/mlgjm/OneDrive/Desktop/GameWebsite/outputs/qa-recovery-v2/QA_Evidence/live-reactor-completed-score-before-reload.txt; C:/Users/mlgjm/OneDrive/Desktop/GameWebsite/outputs/qa-recovery-v2/QA_Evidence/live-reactor-reload-menu-no-board.txt; C:/Users/mlgjm/OneDrive/Desktop/GameWebsite/outputs/qa-recovery-v2/QA_Evidence/live-reactor-completed-score-after-reload.txt; C:/Users/mlgjm/OneDrive/Desktop/GameWebsite/outputs/qa-recovery-v2/QA_Evidence/reactor-excluded-actions-ad-history.txt; historical: C:/Users/mlgjm/OneDrive/Desktop/GameWebsite/outputs/qa-20261006/QA_Evidence/notes/browser-observations.md; V3 journal: C:/Users/mlgjm/OneDrive/Desktop/GameWebsite/outputs/qa-finalization-v3/QA_FINALIZATION_V3_JOURNAL.json#REA-020</x:v>
      </x:c>
      <x:c r="K28" s="48"/>
      <x:c r="L28" s="48" t="str">
        <x:v>V2-LIVE</x:v>
      </x:c>
      <x:c r="M28" s="48" t="str">
        <x:v>Codex QA</x:v>
      </x:c>
      <x:c r="N28" s="58" t="n">
        <x:v>46301</x:v>
      </x:c>
      <x:c r="O28" s="55" t="str"/>
    </x:row>
    <x:row r="29" ht="76" customHeight="1">
      <x:c r="A29" s="42" t="str">
        <x:v>REA-021</x:v>
      </x:c>
      <x:c r="B29" s="42" t="str">
        <x:v>LIVE</x:v>
      </x:c>
      <x:c r="C29" s="42" t="str">
        <x:v>P1 - Required</x:v>
      </x:c>
      <x:c r="D29" s="42" t="str">
        <x:v>Sound and silence</x:v>
      </x:c>
      <x:c r="E29" s="48" t="str">
        <x:v>N/A</x:v>
      </x:c>
      <x:c r="F29" s="48" t="str">
        <x:v>PREVIOUS RESULT: Blocked. HUMAN TEST REQUIRED: confirm Reactor sound and silence audibly on a device with audio output.
NEW RESULT: NOT_EXECUTED; HUMAN_JUDGMENT_REQUIRED.
REASON: Audible cues and duplicate sound require an audio listener.
SCOPE: Historical evidence only; V2 not executed
V3: Blocked [HUMAN_JUDGMENT]. Proven already: Audible cues and duplicate sound require an audio listener.
Remaining: Required assertions not yet fully verified: Audible cues match mute state; no retained mute bug or duplicate sound after transitions. Procedure: Play, toggle sound in Pause, resume, produce cues.
Specific reason: Audible cues and duplicate sound require an audio listener.
Attempted this run: no. Owner: Human tester. Next step: Human tester executes in the case environment: Required assertions not yet fully verified: Audible cues match mute state; no retained mute bug or duplicate sound after transitions. Procedure: Play, toggle sound in Pause, resume, produce cues.
Session: S01; scope: Historical evidence only; V2 not executed. See QA_FINALIZATION_V3_JOURNAL.json#REA-021 and HANDOFF_AND_FIX_QUEUE.md.
FINAL AI 4B.2 (2026-10-07): BLOCKED — HUMAN TESTING REQUIRED [HUMAN_JUDGMENT].
Why AI did not finish: Audible quality, balance, duplication and restoration require human hearing; observable UI/state evidence is retained.
AI already proved: No complete independent evidence for the remaining assertions; historical observations remain in the workbook.
Remaining: Audible cues match mute state; no retained mute bug or duplicate sound after transitions. Procedure: Play, toggle sound in Pause, resume, produce cues.
Human action (HQA-05): 1. Use LIVE; Headphones/speakers, native Chrome/Edge and at least one physical mobile browser. 2. Create a disposable QA/profile when changing saved state; launch qa:dev or qa:preview for the specified local environment and use the actual printed URL. 3. Execute only the remaining assertion: Audible cues match mute state; no retained mute bug or duplicate sound after transitions. Procedure: Play, toggle sound in Pause, resume, produce cues.
Expected: Audible cues match mute state; no retained mute bug or duplicate sound after transitions.
Capture: Pass/Fail per ID, screenshot or timestamped video/state snapshot, device/OS/browser versions, viewport/zoom/DPR and a note; compare prior evidence instead of repeating proven subassertions.
Session/evidence: S17; Historical evidence retained; no fresh case execution claimed. Full grouped instructions: HUMAN_QA_FINAL.md#hqa-05. Historical Bug IDs are retained links, not current confirmed dependencies unless explicitly stated.
FINAL HUMAN QA (2026-10-07): N/A — audible acceptance is intentionally deferred because the current games do not yet have the final audio implementation to certify. Hristo explicitly approved audio-owned cases as N/A, with a separate dedicated Audio QA pass required later.</x:v>
      </x:c>
      <x:c r="G29" s="42"/>
      <x:c r="H29" s="42" t="str">
        <x:v>Play, toggle sound in Pause, resume, produce cues.</x:v>
      </x:c>
      <x:c r="I29" s="42" t="str">
        <x:v>Audible cues match mute state; no retained mute bug or duplicate sound after transitions.</x:v>
      </x:c>
      <x:c r="J29" s="48" t="str">
        <x:v>C:/Users/mlgjm/OneDrive/Desktop/GameWebsite/outputs/qa-20261006/QA_Evidence/notes/browser-observations.md; V3 journal: C:/Users/mlgjm/OneDrive/Desktop/GameWebsite/outputs/qa-finalization-v3/QA_FINALIZATION_V3_JOURNAL.json#REA-021
Owner-approved Human QA N/A decision, 2026-10-07; prior AI evidence retained.</x:v>
      </x:c>
      <x:c r="K29" s="48"/>
      <x:c r="L29" s="48" t="str">
        <x:v>S20</x:v>
      </x:c>
      <x:c r="M29" s="48" t="str">
        <x:v>Hristo</x:v>
      </x:c>
      <x:c r="N29" s="58" t="n">
        <x:v>46302</x:v>
      </x:c>
      <x:c r="O29" s="54" t="str"/>
    </x:row>
    <x:row r="30" ht="76" customHeight="1">
      <x:c r="A30" s="44" t="str">
        <x:v>REA-022</x:v>
      </x:c>
      <x:c r="B30" s="44" t="str">
        <x:v>LIVE</x:v>
      </x:c>
      <x:c r="C30" s="44" t="str">
        <x:v>P0 - Critical</x:v>
      </x:c>
      <x:c r="D30" s="44" t="str">
        <x:v>Portrait / wide / compact layouts</x:v>
      </x:c>
      <x:c r="E30" s="48" t="str">
        <x:v>Fail</x:v>
      </x:c>
      <x:c r="F30" s="48" t="str">
        <x:v>PREVIOUS RESULT: Blocked. HUMAN / ENVIRONMENT FOLLOW-UP REQUIRED: Portrait board fit at 360×640. At 640×360 the portrait-first game/menu remained centered in the wider frame; compact layout behavior was not checked. Remaining acceptance criteria were not established in this browser session; complete on the specified supported device/profile or with the missing deterministic setup, then update from direct evidence.
NEW RESULT: FAIL; COMPLETED.
REASON: Confirmed V2-004: Reactor allocated iframe below280px selects constrained layout and hides both Cool/Upgrade and the stability/move HUD, with no alternative power controls. Observed required320×800,360×640,640×360,844×390,932×430. Fresh LIVE320×800 reload+Initialize reproduced one free charge each in zero-size buttons. Other-game/fullscreen assertions remain separate; this failed essential-control assertion is sufficient for Fail.
SCOPE: LIVE desktop viewport emulation + source-correlated constrained selector
V3: Fail; retained V2 evidence, not rerun. Confirmed contradiction linked to V2-004.
Outstanding subchecks: After confirmed fix, rerun original expected result: Grid/HUD/heat/power controls fit allocated iframe; touch coordinate mapping remains correct. Other compound subchecks remain unverified: site navigation/footer, Controls/help, ads/courtesy where applicable, native fullscreen/pointer behavior and device input. Failure evidence establishes hidden powers/HUD only; V2 matrices retain covered states.
Owner: Engineer. Next: Engineer addresses V2-004; Human tester retests listed assertions against confirmed fix and records actual evidence.
Session: V2-LIVE; scope: LIVE desktop viewport emulation + source-correlated constrained selector. See QA_FINALIZATION_V3_JOURNAL.json#REA-022 and HANDOFF_AND_FIX_QUEUE.md.
4B.1 retest record (2026-10-06): Live build identity matches merged SHA; only its ready menu/board shell was observed live, not safe move/resize. Local production preview passed visible/actionable Reactor controls at 320x800, 360x640, 640x360, 844x390, 932x430; no game-document overflow, center hit targets worked, and an actual move survived a nearby resize. Keep Blocked: full row needs LIVE board interaction and resize plus physical touch mapping.
FINAL AI 4B.2 (2026-10-07): BLOCKED — HUMAN TESTING REQUIRED [BUDGET / HUMAN QA HANDOFF].
Why AI did not finish: The bounded Final AI testing window did not complete the full compound scenario. This remains AI-suitable or mixed work, handed to Human QA rather than claiming all practical AI testing complete.
AI already proved: LIVE build independently measured all13 prescribed sizes in menu/active/Pause/Controls. Reactor controls fit frame, no document scroll/website horizontal overflow; PAUSE/RESUME actually operated through the size chain. Screenshot and actual iframe dimensions in viewport-matrix.json.
Remaining: Human must complete actual board pointer/touch moves and hit targets on physical narrow/touch browser; result/fullscreen mapping still unverified.
Human action (HQA-14): 1. Use LIVE; Native browser with positioned pointer, physical phone for touch portions. 2. Create a disposable QA/profile when changing saved state; launch qa:dev or qa:preview for the specified local environment and use the actual printed URL. 3. Execute only the remaining assertion: Human must complete actual board pointer/touch moves and hit targets on physical narrow/touch browser; result/fullscreen mapping still unverified.
Expected: Grid/HUD/heat/power controls fit allocated iframe; touch coordinate mapping remains correct.
Capture: Pass/Fail per ID, screenshot or timestamped video/state snapshot, device/OS/browser versions, viewport/zoom/DPR and a note; compare prior evidence instead of repeating proven subassertions.
Session/evidence: S17; QA_Evidence/observations.json. Full grouped instructions: HUMAN_QA_FINAL.md#hqa-14. Historical Bug IDs are retained links, not current confirmed dependencies unless explicitly stated.
FINAL HUMAN QA (2026-10-07): FAIL — on compact/mobile Reactor layouts, the instruction/header area above the containment grid overlaps/reflows and the overall UI readjusts visibly. Physical mobile fit is not consistently stable. Bugs: HQA-001, HQA-003.</x:v>
      </x:c>
      <x:c r="G30" s="44"/>
      <x:c r="H30" s="44" t="str">
        <x:v>Resize and rotate during live board interaction.</x:v>
      </x:c>
      <x:c r="I30" s="44" t="str">
        <x:v>Grid/HUD/heat/power controls fit allocated iframe; touch coordinate mapping remains correct.</x:v>
      </x:c>
      <x:c r="J30" s="48" t="str">
        <x:v>C:/Users/mlgjm/OneDrive/Desktop/GameWebsite/outputs/qa-recovery-v2/QA_Evidence/responsive-live-reactor-active-matrix.json; C:/Users/mlgjm/OneDrive/Desktop/GameWebsite/outputs/qa-recovery-v2/QA_Evidence/reactor-hidden-powers-clean-repro.json; C:/Users/mlgjm/OneDrive/Desktop/GameWebsite/outputs/qa-recovery-v2/QA_Evidence/reactor-hidden-powers-clean-repro.png; C:/Users/mlgjm/OneDrive/Desktop/GameWebsite/outputs/qa-recovery-v2/QA_Evidence/responsive-live-reactor-active-640x360.png; historical: C:/Users/mlgjm/OneDrive/Desktop/GameWebsite/outputs/qa-20261006/QA_Evidence/notes/browser-observations.md; V3 journal: C:/Users/mlgjm/OneDrive/Desktop/GameWebsite/outputs/qa-finalization-v3/QA_FINALIZATION_V3_JOURNAL.json#REA-022; reactor-prod-320x800.png; reactor-prod-360x640.png; reactor-prod-640x360.png; reactor-prod-844x390.png; reactor-prod-932x430.png; live-build-identity.json; FINAL AI: C:/Users/mlgjm/OneDrive/Desktop/GameWebsite/outputs/qa-final-ai/2026-10-07_000739/QA_Evidence/observations.json
Human QA chat observations/screenshots, 2026-10-07; prior AI evidence retained.</x:v>
      </x:c>
      <x:c r="K30" s="48" t="str">
        <x:v>HQA-001; HQA-003</x:v>
      </x:c>
      <x:c r="L30" s="48" t="str">
        <x:v>S21</x:v>
      </x:c>
      <x:c r="M30" s="48" t="str">
        <x:v>Hristo</x:v>
      </x:c>
      <x:c r="N30" s="58" t="n">
        <x:v>46302</x:v>
      </x:c>
      <x:c r="O30" s="55" t="str"/>
    </x:row>
    <x:row r="31" ht="76" customHeight="1">
      <x:c r="A31" s="42" t="str">
        <x:v>REA-023</x:v>
      </x:c>
      <x:c r="B31" s="42" t="str">
        <x:v>LIVE</x:v>
      </x:c>
      <x:c r="C31" s="42" t="str">
        <x:v>P0 - Critical</x:v>
      </x:c>
      <x:c r="D31" s="42" t="str">
        <x:v>Player fullscreen</x:v>
      </x:c>
      <x:c r="E31" s="48" t="str">
        <x:v>Pass</x:v>
      </x:c>
      <x:c r="F31" s="48" t="str">
        <x:v>PREVIOUS RESULT: Pass. Entered and exited fullscreen using the LIVE Reactor player action bar; the game route remained functional after exit.
NEW RESULT: PARTIAL; RUNNABLE.
REASON: LIVE paused fullscreen entered/exited and preserved board/free charges, then normal Resume and tap/drag worked. Under emulated390×844, fullscreen screenshot showed a small player on black surface while DOM reported iframe589.5px against390 viewport; this browser/emulation discrepancy is unresolved. Native pointer/layout parity cannot be assigned Pass.
SCOPE: LIVE fullscreen with viewport emulation
V3: Blocked [TOOL_LIMITATION]. Proven already: LIVE paused fullscreen entered/exited and preserved board/free charges, then normal Resume and tap/drag worked. Under emulated390×844, fullscreen screenshot showed a small player on black surface while DOM reported iframe589.5px against390 viewport; this browser/emulation discrepancy is unresolved. Native pointer/layout parity cannot be assigned Pass.
Remaining: Native fullscreen pointer/layout parity with and without emulation; explain compositor/DOM discrepancy.
Specific reason: LIVE paused fullscreen entered/exited and preserved board/free charges, then normal Resume and tap/drag worked. Under emulated390×844, fullscreen screenshot showed a small player on black surface while DOM reported iframe589.5px against390 viewport; this browser/emulation discrepancy is unresolved. Native pointer/layout parity cannot be assigned Pass.
Attempted this run: no. Owner: Engineer. Next step: Establish the specific required fixture/tool/runtime, then Human tester executes: Native fullscreen pointer/layout parity with and without emulation; explain compositor/DOM discrepancy.
Session: V2-LIVE; scope: LIVE fullscreen with viewport emulation. See QA_FINALIZATION_V3_JOURNAL.json#REA-023 and HANDOFF_AND_FIX_QUEUE.md.
FINAL AI 4B.2 (2026-10-07): BLOCKED — HUMAN TESTING REQUIRED [HUMAN_BROWSER].
Why AI did not finish: The supported browser API cannot certify native fullscreen/pointer mapping, browser zoom or the required second browser.
AI already proved: Retained earlier partial evidence: LIVE paused fullscreen entered/exited and preserved board/free charges, then normal Resume and tap/drag worked. Under emulated390×844, fullscreen screenshot showed a small player on black surface while DOM reported iframe589.5px against390 viewport; this browser/emulation discrepancy is unresolved. Native pointer/layout parity cannot be assigned Pass.
Remaining: Native fullscreen pointer/layout parity with and without emulation; explain compositor/DOM discrepancy.
Human action (HQA-07): 1. Use LIVE; Native Chrome or Edge supporting fullscreen, browser zoom and positioned pointer; physical rotation where listed. 2. Create a disposable QA/profile when changing saved state; launch qa:dev or qa:preview for the specified local environment and use the actual printed URL. 3. Execute only the remaining assertion: Native fullscreen pointer/layout parity with and without emulation; explain compositor/DOM discrepancy.
Expected: No board reset, lost charges or inaccessible control. Unsupported browser states recorded honestly.
Capture: Pass/Fail per ID, screenshot or timestamped video/state snapshot, device/OS/browser versions, viewport/zoom/DPR and a note; compare prior evidence instead of repeating proven subassertions.
Session/evidence: S17; Historical evidence retained; no fresh case execution claimed. Full grouped instructions: HUMAN_QA_FINAL.md#hqa-07.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31" s="42"/>
      <x:c r="H31" s="42" t="str">
        <x:v>Enter/exit fullscreen in live and paused states.</x:v>
      </x:c>
      <x:c r="I31" s="42" t="str">
        <x:v>No board reset, lost charges or inaccessible control. Unsupported browser states recorded honestly.</x:v>
      </x:c>
      <x:c r="J31" s="48" t="str">
        <x:v>C:/Users/mlgjm/OneDrive/Desktop/GameWebsite/outputs/qa-recovery-v2/QA_Evidence/live-reactor-phone-fullscreen.txt; C:/Users/mlgjm/OneDrive/Desktop/GameWebsite/outputs/qa-recovery-v2/QA_Evidence/live-reactor-phone-fullscreen.png; C:/Users/mlgjm/OneDrive/Desktop/GameWebsite/outputs/qa-recovery-v2/QA_Evidence/live-reactor-phone-fullscreen-exit.txt; C:/Users/mlgjm/OneDrive/Desktop/GameWebsite/outputs/qa-recovery-v2/QA_Evidence/live-reactor-phone-drag-move.png; historical: C:/Users/mlgjm/OneDrive/Desktop/GameWebsite/outputs/qa-20261006/QA_Evidence/notes/browser-observations.md; V3 journal: C:/Users/mlgjm/OneDrive/Desktop/GameWebsite/outputs/qa-finalization-v3/QA_FINALIZATION_V3_JOURNAL.json#REA-023
Human QA completion statement, 2026-10-07; prior AI evidence retained.</x:v>
      </x:c>
      <x:c r="K31" s="48"/>
      <x:c r="L31" s="48" t="str">
        <x:v>S20</x:v>
      </x:c>
      <x:c r="M31" s="48" t="str">
        <x:v>Hristo</x:v>
      </x:c>
      <x:c r="N31" s="58" t="n">
        <x:v>46302</x:v>
      </x:c>
      <x:c r="O31" s="54" t="str"/>
    </x:row>
    <x:row r="32" ht="76" customHeight="1">
      <x:c r="A32" s="44" t="str">
        <x:v>REA-024</x:v>
      </x:c>
      <x:c r="B32" s="44" t="str">
        <x:v>LIVE</x:v>
      </x:c>
      <x:c r="C32" s="44" t="str">
        <x:v>P0 - Critical</x:v>
      </x:c>
      <x:c r="D32" s="44" t="str">
        <x:v>Real mobile tap and drag</x:v>
      </x:c>
      <x:c r="E32" s="48" t="str">
        <x:v>Fail</x:v>
      </x:c>
      <x:c r="F32" s="48" t="str">
        <x:v>PREVIOUS RESULT: Blocked. HUMAN TEST REQUIRED: verify tap and drag behavior on a physical mobile touchscreen.
NEW RESULT: NOT_EXECUTED; PHYSICAL_DEVICE_REQUIRED.
REASON: Physical mobile tap/drag requires real touch hardware.
SCOPE: Historical evidence only; V2 not executed
V3: Blocked [HARDWARE_REQUIRED]. Proven already: Physical mobile tap/drag requires real touch hardware.
Remaining: Required assertions not yet fully verified: Correct cells selected; no accidental document scroll or lost pointer capture. Procedure: Use both tap-source/destination and drag on a physical phone.
Specific reason: Physical mobile tap/drag requires real touch hardware.
Attempted this run: no. Owner: Human tester. Next step: Human tester executes in the case environment: Required assertions not yet fully verified: Correct cells selected; no accidental document scroll or lost pointer capture. Procedure: Use both tap-source/destination and drag on a physical phone.
Session: S02; scope: Historical evidence only; V2 not executed. See QA_FINALIZATION_V3_JOURNAL.json#REA-024 and HANDOFF_AND_FIX_QUEUE.md.
FINAL AI 4B.2 (2026-10-07): BLOCKED — HUMAN TESTING REQUIRED [HUMAN_DEVICE].
Why AI did not finish: The required physical device, touch, OS setting or assistive technology is not available to this browser agent.
AI already proved: No complete independent evidence for the remaining assertions; historical observations remain in the workbook.
Remaining: Correct cells selected; no accidental document scroll or lost pointer capture. Procedure: Use both tap-source/destination and drag on a physical phone.
Human action (HQA-01): 1. Use LIVE; Physical Android phone, Chrome; record model, Android and Chrome versions. 2. Physical device required. 3. Execute only the remaining assertion: Correct cells selected; no accidental document scroll or lost pointer capture. Procedure: Use both tap-source/destination and drag on a physical phone.
Expected: Correct cells selected; no accidental document scroll or lost pointer capture.
Capture: Pass/Fail per ID, screenshot or timestamped video/state snapshot, device/OS/browser versions, viewport/zoom/DPR and a note; compare prior evidence instead of repeating proven subassertions.
Session/evidence: S17; Historical evidence retained; no fresh case execution claimed. Full grouped instructions: HUMAN_QA_FINAL.md#hqa-01. Historical Bug IDs are retained links, not current confirmed dependencies unless explicitly stated.
FINAL HUMAN QA (2026-10-07): FAIL — tap-source/destination works, but drag interaction does not work on the physical Android phone. Required real-mobile drag acceptance is not met. Bug: HQA-002.</x:v>
      </x:c>
      <x:c r="G32" s="44" t="str">
        <x:v>Physical device required.</x:v>
      </x:c>
      <x:c r="H32" s="44" t="str">
        <x:v>Use both tap-source/destination and drag on a physical phone.</x:v>
      </x:c>
      <x:c r="I32" s="44" t="str">
        <x:v>Correct cells selected; no accidental document scroll or lost pointer capture.</x:v>
      </x:c>
      <x:c r="J32" s="48" t="str">
        <x:v>C:/Users/mlgjm/OneDrive/Desktop/GameWebsite/outputs/qa-20261006/QA_Evidence/notes/browser-observations.md; V3 journal: C:/Users/mlgjm/OneDrive/Desktop/GameWebsite/outputs/qa-finalization-v3/QA_FINALIZATION_V3_JOURNAL.json#REA-024
Human QA chat observations/screenshots, 2026-10-07; prior AI evidence retained.</x:v>
      </x:c>
      <x:c r="K32" s="48" t="str">
        <x:v>HQA-002</x:v>
      </x:c>
      <x:c r="L32" s="48" t="str">
        <x:v>S21</x:v>
      </x:c>
      <x:c r="M32" s="48" t="str">
        <x:v>Hristo</x:v>
      </x:c>
      <x:c r="N32" s="58" t="n">
        <x:v>46302</x:v>
      </x:c>
      <x:c r="O32" s="55" t="str"/>
    </x:row>
    <x:row r="33" ht="76" customHeight="1">
      <x:c r="A33" s="42" t="str">
        <x:v>REA-025</x:v>
      </x:c>
      <x:c r="B33" s="42" t="str">
        <x:v>LIVE</x:v>
      </x:c>
      <x:c r="C33" s="42" t="str">
        <x:v>P1 - Required</x:v>
      </x:c>
      <x:c r="D33" s="42" t="str">
        <x:v>Long-session lifecycle</x:v>
      </x:c>
      <x:c r="E33" s="48" t="str">
        <x:v>Pass</x:v>
      </x:c>
      <x:c r="F33" s="48" t="str">
        <x:v>PREVIOUS RESULT: Blocked. HUMAN TEST REQUIRED: HUMAN TEST REQUIRED: run the repeated pause/restart/power-up/scores lifecycle soak on a target device.
NEW RESULT: NOT_EXECUTED; RUNNABLE.
REASON: Existing evidence needs a targeted comparison against all expected assertions; no V2 browser execution yet.
SCOPE: Historical evidence only; V2 not executed
V3: Blocked [BUDGET_HANDOFF]. Proven already: No complete direct evidence; earlier notes retained above.
Remaining: Required assertions not yet fully verified: No growing effects/tweens, stale selection or repeated listeners; game remains responsive. Procedure: Restart, pause, use powers and open scores over repeated runs.
Specific reason: Not attempted/completed within this run's bounded execution budget. Not attempted/completed within this run's bounded execution budget. Not attempted/completed within this run's bounded execution budget. Not attempted/completed within this run's bounded execution budget. Natural progression or a continuous timed soak cannot be substituted by accumulated unrelated short tests; excluded from this bounded finalization budget.
Attempted this run: no. Owner: Human tester. Next step: Human tester executes in the case environment: Required assertions not yet fully verified: No growing effects/tweens, stale selection or repeated listeners; game remains responsive. Procedure: Restart, pause, use powers and open scores over repeated runs.
Session: S02; scope: Historical evidence only; V2 not executed. See QA_FINALIZATION_V3_JOURNAL.json#REA-025 and HANDOFF_AND_FIX_QUEUE.md.
FINAL AI 4B.2 (2026-10-07): BLOCKED — HUMAN TESTING REQUIRED [BUDGET / HUMAN QA HANDOFF].
Why AI did not finish: The bounded Final AI testing window did not complete the full compound scenario. This remains AI-suitable or mixed work, handed to Human QA rather than claiming all practical AI testing complete.
AI already proved: No complete independent evidence for the remaining assertions; historical observations remain in the workbook.
Remaining: No growing effects/tweens, stale selection or repeated listeners; game remains responsive. Procedure: Restart, pause, use powers and open scores over repeated runs.
Human action (HQA-09): 1. Use LIVE; Native browser with audio and pointer; stopwatch and continuous recording. 2. Create a disposable QA/profile when changing saved state; launch qa:dev or qa:preview for the specified local environment and use the actual printed URL. 3. Execute only the remaining assertion: No growing effects/tweens, stale selection or repeated listeners; game remains responsive. Procedure: Restart, pause, use powers and open scores over repeated runs.
Expected: No growing effects/tweens, stale selection or repeated listeners; game remains responsive.
Capture: Pass/Fail per ID, screenshot or timestamped video/state snapshot, device/OS/browser versions, viewport/zoom/DPR and a note; compare prior evidence instead of repeating proven subassertions.
Session/evidence: S17; Historical evidence retained; no fresh case execution claimed. Full grouped instructions: HUMAN_QA_FINAL.md#hqa-09.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33" s="42"/>
      <x:c r="H33" s="42" t="str">
        <x:v>Restart, pause, use powers and open scores over repeated runs.</x:v>
      </x:c>
      <x:c r="I33" s="42" t="str">
        <x:v>No growing effects/tweens, stale selection or repeated listeners; game remains responsive.</x:v>
      </x:c>
      <x:c r="J33" s="48" t="str">
        <x:v>C:/Users/mlgjm/OneDrive/Desktop/GameWebsite/outputs/qa-20261006/QA_Evidence/notes/browser-observations.md; V3 journal: C:/Users/mlgjm/OneDrive/Desktop/GameWebsite/outputs/qa-finalization-v3/QA_FINALIZATION_V3_JOURNAL.json#REA-025
Human QA completion statement, 2026-10-07; prior AI evidence retained.</x:v>
      </x:c>
      <x:c r="K33" s="48"/>
      <x:c r="L33" s="48" t="str">
        <x:v>S20</x:v>
      </x:c>
      <x:c r="M33" s="48" t="str">
        <x:v>Hristo</x:v>
      </x:c>
      <x:c r="N33" s="58" t="n">
        <x:v>46302</x:v>
      </x:c>
      <x:c r="O33" s="54" t="str"/>
    </x:row>
    <x:row r="34" ht="76" customHeight="1">
      <x:c r="A34" s="44" t="str">
        <x:v>REA-026</x:v>
      </x:c>
      <x:c r="B34" s="44" t="str">
        <x:v>LIVE</x:v>
      </x:c>
      <x:c r="C34" s="44" t="str">
        <x:v>P2 - Polish</x:v>
      </x:c>
      <x:c r="D34" s="44" t="str">
        <x:v>Balance / visual notes</x:v>
      </x:c>
      <x:c r="E34" s="48" t="str">
        <x:v>Pass</x:v>
      </x:c>
      <x:c r="F34" s="48" t="str">
        <x:v>PREVIOUS RESULT: Blocked. HUMAN TEST REQUIRED: subjective balance and visual-feedback assessment needs player evaluation.
NEW RESULT: NOT_EXECUTED; RUNNABLE.
REASON: Existing evidence needs a targeted comparison against all expected assertions; no V2 browser execution yet.
SCOPE: Historical evidence only; V2 not executed
V3: Blocked [HUMAN_JUDGMENT]. Proven already: No complete direct evidence; earlier notes retained above.
Remaining: Required assertions not yet fully verified: Polish backlog only unless issue prevents normal play. Procedure: Record pacing, board size, readability and satisfaction suggestions.
Specific reason: Requires an audio listener or product feel assessment unavailable to this agent.
Attempted this run: no. Owner: Human tester. Next step: Human tester executes in the case environment: Required assertions not yet fully verified: Polish backlog only unless issue prevents normal play. Procedure: Record pacing, board size, readability and satisfaction suggestions.
Session: S02; scope: Historical evidence only; V2 not executed. See QA_FINALIZATION_V3_JOURNAL.json#REA-026 and HANDOFF_AND_FIX_QUEUE.md.
FINAL AI 4B.2 (2026-10-07): BLOCKED — HUMAN TESTING REQUIRED [HUMAN_JUDGMENT].
Why AI did not finish: Human visual/game-feel/device-performance judgment or first-paint video is required.
AI already proved: No complete independent evidence for the remaining assertions; historical observations remain in the workbook.
Remaining: Polish backlog only unless issue prevents normal play. Procedure: Record pacing, board size, readability and satisfaction suggestions.
Human action (HQA-06): 1. Use LIVE; Human player on desktop and physical phone; record difficulty, viewport and device. 2. Create a disposable QA/profile when changing saved state; launch qa:dev or qa:preview for the specified local environment and use the actual printed URL. 3. Execute only the remaining assertion: Polish backlog only unless issue prevents normal play. Procedure: Record pacing, board size, readability and satisfaction suggestions.
Expected: Polish backlog only unless issue prevents normal play.
Capture: Pass/Fail per ID, screenshot or timestamped video/state snapshot, device/OS/browser versions, viewport/zoom/DPR and a note; compare prior evidence instead of repeating proven subassertions.
Session/evidence: S17; Historical evidence retained; no fresh case execution claimed. Full grouped instructions: HUMAN_QA_FINAL.md#hqa-06. Historical Bug IDs are retained links, not current confirmed dependencies unless explicitly stated.
FINAL HUMAN QA (2026-10-07): PASS for the QA gate. Product notes retained for later polish: add clearer effects/indicators when Cool Core / Upgrade are used; add tutorial/onboarding framing; continue art/animation polish.</x:v>
      </x:c>
      <x:c r="G34" s="44"/>
      <x:c r="H34" s="44" t="str">
        <x:v>Record pacing, board size, readability and satisfaction suggestions.</x:v>
      </x:c>
      <x:c r="I34" s="44" t="str">
        <x:v>Polish backlog only unless issue prevents normal play.</x:v>
      </x:c>
      <x:c r="J34" s="48" t="str">
        <x:v>C:/Users/mlgjm/OneDrive/Desktop/GameWebsite/outputs/qa-20261006/QA_Evidence/notes/browser-observations.md; V3 journal: C:/Users/mlgjm/OneDrive/Desktop/GameWebsite/outputs/qa-finalization-v3/QA_FINALIZATION_V3_JOURNAL.json#REA-026
Human QA completion statement, 2026-10-07; prior AI evidence retained.</x:v>
      </x:c>
      <x:c r="K34" s="48"/>
      <x:c r="L34" s="48" t="str">
        <x:v>S20</x:v>
      </x:c>
      <x:c r="M34" s="48" t="str">
        <x:v>Hristo</x:v>
      </x:c>
      <x:c r="N34" s="58" t="n">
        <x:v>46302</x:v>
      </x:c>
      <x:c r="O34" s="55" t="str"/>
    </x:row>
  </x:sheetData>
  <x:mergeCells>
    <x:mergeCell ref="A1:O2"/>
    <x:mergeCell ref="A3:O3"/>
    <x:mergeCell ref="A4:O4"/>
  </x:mergeCells>
  <x:conditionalFormatting sqref="E9:E34">
    <x:cfRule type="expression" dxfId="16" priority="1">
      <x:formula>$E9="Not run"</x:formula>
    </x:cfRule>
    <x:cfRule type="expression" dxfId="17" priority="2">
      <x:formula>$E9="In progress"</x:formula>
    </x:cfRule>
    <x:cfRule type="expression" dxfId="18" priority="3">
      <x:formula>$E9="Pass"</x:formula>
    </x:cfRule>
    <x:cfRule type="expression" dxfId="19" priority="4">
      <x:formula>$E9="Fail"</x:formula>
    </x:cfRule>
    <x:cfRule type="expression" dxfId="20" priority="5">
      <x:formula>$E9="Blocked"</x:formula>
    </x:cfRule>
    <x:cfRule type="expression" dxfId="21" priority="6">
      <x:formula>$E9="Retest due"</x:formula>
    </x:cfRule>
    <x:cfRule type="expression" dxfId="22" priority="7">
      <x:formula>$E9="N/A"</x:formula>
    </x:cfRule>
  </x:conditionalFormatting>
  <x:conditionalFormatting sqref="C9:C34">
    <x:cfRule type="expression" dxfId="23" priority="8">
      <x:formula>$C9="P0 - Critical"</x:formula>
    </x:cfRule>
  </x:conditionalFormatting>
  <x:dataValidations count="3">
    <x:dataValidation type="list" sqref="E9:E34">
      <x:formula1>"Not run,In progress,Pass,Fail,Blocked,Retest due,N/A"</x:formula1>
    </x:dataValidation>
    <x:dataValidation type="list" sqref="C9:C34">
      <x:formula1>"P0 - Critical,P1 - Required,P2 - Polish"</x:formula1>
    </x:dataValidation>
    <x:dataValidation type="list" sqref="L9:L34">
      <x:formula1>'Sessions'!$A$9:$A$38</x:formula1>
    </x:dataValidation>
  </x:dataValidations>
  <x:pageMargins left="0.7" right="0.7" top="0.75" bottom="0.75" header="0.3" footer="0.3"/>
  <x:tableParts count="1">
    <x:tablePart xmlns:r="http://schemas.openxmlformats.org/officeDocument/2006/relationships" r:id="R1226bbd54a434ae4"/>
  </x:tableParts>
</x:worksheet>
</file>

<file path=xl/worksheets/sheet7.xml><?xml version="1.0" encoding="utf-8"?>
<x:worksheet xmlns:x="http://schemas.openxmlformats.org/spreadsheetml/2006/main">
  <x:sheetFormatPr defaultRowHeight="15"/>
  <x:cols>
    <x:col min="1" max="1" width="13" hidden="0" customWidth="1"/>
    <x:col min="2" max="2" width="20" hidden="0" customWidth="1"/>
    <x:col min="3" max="3" width="19" hidden="0" customWidth="1"/>
    <x:col min="4" max="4" width="36" hidden="0" customWidth="1"/>
    <x:col min="5" max="5" width="18" hidden="0" customWidth="1"/>
    <x:col min="6" max="6" width="38" hidden="0" customWidth="1"/>
    <x:col min="7" max="7" width="36" hidden="0" customWidth="1"/>
    <x:col min="8" max="8" width="40" hidden="0" customWidth="1"/>
    <x:col min="9" max="9" width="40" hidden="0" customWidth="1"/>
    <x:col min="10" max="10" width="28" hidden="0" customWidth="1"/>
    <x:col min="11" max="11" width="16" hidden="0" customWidth="1"/>
    <x:col min="12" max="12" width="15" hidden="0" customWidth="1"/>
    <x:col min="13" max="13" width="18" hidden="0" customWidth="1"/>
    <x:col min="14" max="14" width="14" hidden="0" customWidth="1"/>
    <x:col min="15" max="15" width="35" hidden="0" customWidth="1"/>
  </x:cols>
  <x:sheetData>
    <x:row r="1">
      <x:c r="A1" s="14" t="str">
        <x:v>ADS DEV | PRODUCT QA</x:v>
      </x:c>
      <x:c r="B1" s="14"/>
      <x:c r="C1" s="14"/>
      <x:c r="D1" s="14"/>
      <x:c r="E1" s="14"/>
      <x:c r="F1" s="14"/>
      <x:c r="G1" s="14"/>
      <x:c r="H1" s="14"/>
      <x:c r="I1" s="14"/>
      <x:c r="J1" s="14"/>
      <x:c r="K1" s="14"/>
      <x:c r="L1" s="14"/>
      <x:c r="M1" s="14"/>
      <x:c r="N1" s="14"/>
      <x:c r="O1" s="14"/>
    </x:row>
    <x:row r="2">
      <x:c r="A2" s="14"/>
      <x:c r="B2" s="14"/>
      <x:c r="C2" s="14"/>
      <x:c r="D2" s="14"/>
      <x:c r="E2" s="14"/>
      <x:c r="F2" s="14"/>
      <x:c r="G2" s="14"/>
      <x:c r="H2" s="14"/>
      <x:c r="I2" s="14"/>
      <x:c r="J2" s="14"/>
      <x:c r="K2" s="14"/>
      <x:c r="L2" s="14"/>
      <x:c r="M2" s="14"/>
      <x:c r="N2" s="14"/>
      <x:c r="O2" s="14"/>
    </x:row>
    <x:row r="3" ht="24" customHeight="1">
      <x:c r="A3" s="19" t="str">
        <x:v>Baseline 42e8b200 | 46 tests | No results pre-approved | P0/P1 must be resolved before product sign-off</x:v>
      </x:c>
      <x:c r="B3" s="19"/>
      <x:c r="C3" s="19"/>
      <x:c r="D3" s="19"/>
      <x:c r="E3" s="19"/>
      <x:c r="F3" s="19"/>
      <x:c r="G3" s="19"/>
      <x:c r="H3" s="19"/>
      <x:c r="I3" s="19"/>
      <x:c r="J3" s="19"/>
      <x:c r="K3" s="19"/>
      <x:c r="L3" s="19"/>
      <x:c r="M3" s="19"/>
      <x:c r="N3" s="19"/>
      <x:c r="O3" s="19"/>
    </x:row>
    <x:row r="4" ht="24" customHeight="1">
      <x:c r="A4" s="22" t="str">
        <x:v>Fill Status, Actual result, Evidence, Bug ID, Session, Tester and Date. Filters available on row 8. N/A needs a reason; missing hardware is Blocked.</x:v>
      </x:c>
      <x:c r="B4" s="22"/>
      <x:c r="C4" s="22"/>
      <x:c r="D4" s="22"/>
      <x:c r="E4" s="22"/>
      <x:c r="F4" s="22"/>
      <x:c r="G4" s="22"/>
      <x:c r="H4" s="22"/>
      <x:c r="I4" s="22"/>
      <x:c r="J4" s="22"/>
      <x:c r="K4" s="22"/>
      <x:c r="L4" s="22"/>
      <x:c r="M4" s="22"/>
      <x:c r="N4" s="22"/>
      <x:c r="O4" s="22"/>
    </x:row>
    <x:row r="5">
      <x:c r="A5" s="10"/>
      <x:c r="B5" s="10"/>
      <x:c r="C5" s="10"/>
      <x:c r="D5" s="10"/>
      <x:c r="E5" s="10"/>
      <x:c r="F5" s="10"/>
      <x:c r="G5" s="10"/>
      <x:c r="H5" s="10"/>
      <x:c r="I5" s="10"/>
      <x:c r="J5" s="10"/>
      <x:c r="K5" s="10"/>
      <x:c r="L5" s="10"/>
      <x:c r="M5" s="10"/>
      <x:c r="N5" s="10"/>
      <x:c r="O5" s="10"/>
    </x:row>
    <x:row r="6" ht="23" customHeight="1">
      <x:c r="A6" s="25" t="str">
        <x:v>TOTAL</x:v>
      </x:c>
      <x:c r="B6" s="25" t="n">
        <x:f>COUNTA(A9:A54)</x:f>
        <x:v>46</x:v>
      </x:c>
      <x:c r="C6" s="25" t="str">
        <x:v>PASS</x:v>
      </x:c>
      <x:c r="D6" s="25" t="n">
        <x:f>COUNTIF(E9:E54,"Pass")</x:f>
        <x:v>46</x:v>
      </x:c>
      <x:c r="E6" s="25" t="str">
        <x:v>FAIL</x:v>
      </x:c>
      <x:c r="F6" s="25" t="n">
        <x:f>COUNTIF(E9:E54,"Fail")</x:f>
        <x:v>0</x:v>
      </x:c>
      <x:c r="G6" s="25" t="str">
        <x:v>BLOCKED</x:v>
      </x:c>
      <x:c r="H6" s="25" t="n">
        <x:f>COUNTIF(E9:E54,"Blocked")</x:f>
        <x:v>0</x:v>
      </x:c>
      <x:c r="I6" s="25" t="str">
        <x:v>NOT RUN</x:v>
      </x:c>
      <x:c r="J6" s="25" t="n">
        <x:f>COUNTIF(E9:E54,"Not run")</x:f>
        <x:v>0</x:v>
      </x:c>
      <x:c r="K6" s="25" t="str">
        <x:v>EXECUTED</x:v>
      </x:c>
      <x:c r="L6" s="28" t="n">
        <x:f>IFERROR((COUNTIF(E9:E54,"Pass")+COUNTIF(E9:E54,"Fail")+COUNTIF(E9:E54,"N/A"))/COUNTA(A9:A54),0)</x:f>
        <x:v>1</x:v>
      </x:c>
      <x:c r="M6" s="10"/>
      <x:c r="N6" s="10"/>
      <x:c r="O6" s="10"/>
    </x:row>
    <x:row r="7">
      <x:c r="A7" s="10"/>
      <x:c r="B7" s="10"/>
      <x:c r="C7" s="10"/>
      <x:c r="D7" s="10"/>
      <x:c r="E7" s="10"/>
      <x:c r="F7" s="10"/>
      <x:c r="G7" s="10"/>
      <x:c r="H7" s="10"/>
      <x:c r="I7" s="10"/>
      <x:c r="J7" s="10"/>
      <x:c r="K7" s="10"/>
      <x:c r="L7" s="10"/>
      <x:c r="M7" s="10"/>
      <x:c r="N7" s="10"/>
      <x:c r="O7" s="10"/>
    </x:row>
    <x:row r="8" ht="32" customHeight="1">
      <x:c r="A8" s="33" t="str">
        <x:v>Test ID</x:v>
      </x:c>
      <x:c r="B8" s="33" t="str">
        <x:v>Environment</x:v>
      </x:c>
      <x:c r="C8" s="33" t="str">
        <x:v>Priority</x:v>
      </x:c>
      <x:c r="D8" s="33" t="str">
        <x:v>Test / feature</x:v>
      </x:c>
      <x:c r="E8" s="33" t="str">
        <x:v>Status</x:v>
      </x:c>
      <x:c r="F8" s="33" t="str">
        <x:v>Actual result / notes</x:v>
      </x:c>
      <x:c r="G8" s="33" t="str">
        <x:v>Setup / caution</x:v>
      </x:c>
      <x:c r="H8" s="33" t="str">
        <x:v>Steps to perform</x:v>
      </x:c>
      <x:c r="I8" s="33" t="str">
        <x:v>Expected result</x:v>
      </x:c>
      <x:c r="J8" s="33" t="str">
        <x:v>Evidence link / file</x:v>
      </x:c>
      <x:c r="K8" s="33" t="str">
        <x:v>Bug ID(s)</x:v>
      </x:c>
      <x:c r="L8" s="33" t="str">
        <x:v>Session ID</x:v>
      </x:c>
      <x:c r="M8" s="33" t="str">
        <x:v>Tester</x:v>
      </x:c>
      <x:c r="N8" s="33" t="str">
        <x:v>Test date</x:v>
      </x:c>
      <x:c r="O8" s="33" t="str">
        <x:v>Source / baseline reference</x:v>
      </x:c>
    </x:row>
    <x:row r="9" ht="76" customHeight="1">
      <x:c r="A9" s="42" t="str">
        <x:v>ADS-001</x:v>
      </x:c>
      <x:c r="B9" s="42" t="str">
        <x:v>LOCAL DEV</x:v>
      </x:c>
      <x:c r="C9" s="42" t="str">
        <x:v>P0 - Critical</x:v>
      </x:c>
      <x:c r="D9" s="42" t="str">
        <x:v>Ad inspector opens on website</x:v>
      </x:c>
      <x:c r="E9" s="48" t="str">
        <x:v>Pass</x:v>
      </x:c>
      <x:c r="F9" s="48" t="str">
        <x:v>PREVIOUS RESULT: Pass. Ctrl+Shift+A opened ODESOS AD DEV over the site. The player and surrounding page remained visible; panel reports non-modal behavior.
NEW RESULT: PASS; COMPLETED.
REASON: Website-owned inspector was outside iframe with no backdrop/focus trap; uncovered Home link remained usable while panel stayed open.
SCOPE: LOCAL DEV 5191
V3: Pass; retained V2 evidence, not rerun. 
Session: V2-DEV; scope: LOCAL DEV 5191. See QA_FINALIZATION_V3_JOURNAL.json#ADS-001 and HANDOFF_AND_FIX_QUEUE.md.
Retained prior verified evidence — not rerun in Final AI pass.</x:v>
      </x:c>
      <x:c r="G9" s="42" t="str">
        <x:v>Full-site DEV, not standalone game.</x:v>
      </x:c>
      <x:c r="H9" s="42" t="str">
        <x:v>Open a public game from LOCAL DEV; use AD DEV or Ctrl+Shift+A.</x:v>
      </x:c>
      <x:c r="I9" s="42" t="str">
        <x:v>Inspector is website-owned outside iframe, non-modal, no backdrop/focus trap; uncovered page remains usable.</x:v>
      </x:c>
      <x:c r="J9" s="48" t="str">
        <x:v>C:/Users/mlgjm/OneDrive/Desktop/GameWebsite/outputs/qa-recovery-v2/QA_Evidence/ad-home-no-renderer.txt; historical: C:/Users/mlgjm/OneDrive/Desktop/GameWebsite/outputs/qa-20261006/QA_Evidence/notes/browser-observations.md; V3 journal: C:/Users/mlgjm/OneDrive/Desktop/GameWebsite/outputs/qa-finalization-v3/QA_FINALIZATION_V3_JOURNAL.json#ADS-001</x:v>
      </x:c>
      <x:c r="K9" s="48"/>
      <x:c r="L9" s="48" t="str">
        <x:v>V2-DEV</x:v>
      </x:c>
      <x:c r="M9" s="48" t="str">
        <x:v>Codex QA</x:v>
      </x:c>
      <x:c r="N9" s="58" t="n">
        <x:v>46301</x:v>
      </x:c>
      <x:c r="O9" s="54" t="str"/>
    </x:row>
    <x:row r="10" ht="76" customHeight="1">
      <x:c r="A10" s="44" t="str">
        <x:v>ADS-002</x:v>
      </x:c>
      <x:c r="B10" s="44" t="str">
        <x:v>LOCAL DEV</x:v>
      </x:c>
      <x:c r="C10" s="44" t="str">
        <x:v>P0 - Critical</x:v>
      </x:c>
      <x:c r="D10" s="44" t="str">
        <x:v>Panel does not resize game</x:v>
      </x:c>
      <x:c r="E10" s="48" t="str">
        <x:v>Pass</x:v>
      </x:c>
      <x:c r="F10" s="48" t="str">
        <x:v>PREVIOUS RESULT: Pass. Measured the local Orbit iframe at 1037×527.9 with Ad Dev closed and open; the game frame dimensions were unchanged while the non-modal panel overlaid the page.
NEW RESULT: PASS; COMPLETED.
REASON: Owned DEV at desktop1280 showed unchanged1215×459 Orbit iframe across inspector open/close. New actual390×844 responsive Reactor frame stayed349×487.5 before/open/after close. Narrow inspector is a bottom-anchored sheet (y59.5,height776.5,bottom8), with independent scrolling and no outer horizontal overflow. No game resize.
SCOPE: LOCAL DEV actual desktop/narrow inspector geometry
V3: Pass; retained V2 evidence, not rerun. 
Session: V2-DEV; scope: LOCAL DEV actual desktop/narrow inspector geometry. See QA_FINALIZATION_V3_JOURNAL.json#ADS-002 and HANDOFF_AND_FIX_QUEUE.md.
Retained prior verified evidence — not rerun in Final AI pass.</x:v>
      </x:c>
      <x:c r="G10" s="44"/>
      <x:c r="H10" s="44" t="str">
        <x:v>Record iframe width/height; open and close inspector.</x:v>
      </x:c>
      <x:c r="I10" s="44" t="str">
        <x:v>Player dimensions unchanged; no horizontal overflow; narrow layout becomes bottom sheet.</x:v>
      </x:c>
      <x:c r="J10" s="48" t="str">
        <x:v>C:/Users/mlgjm/OneDrive/Desktop/GameWebsite/outputs/qa-recovery-v2/QA_Evidence/ad-narrow-panel-frame-geometry.json; C:/Users/mlgjm/OneDrive/Desktop/GameWebsite/outputs/qa-recovery-v2/QA_Evidence/ad-narrow-panel-close-geometry.json; C:/Users/mlgjm/OneDrive/Desktop/GameWebsite/outputs/qa-recovery-v2/QA_Evidence/ad-narrow-panel-bottom-sheet.png; C:/Users/mlgjm/OneDrive/Desktop/GameWebsite/outputs/qa-recovery-v2/QA_Evidence/ad-panel-desktop-frame-dimensions.json; historical: C:/Users/mlgjm/OneDrive/Desktop/GameWebsite/outputs/qa-20261006/QA_Evidence/notes/browser-observations.md; V3 journal: C:/Users/mlgjm/OneDrive/Desktop/GameWebsite/outputs/qa-finalization-v3/QA_FINALIZATION_V3_JOURNAL.json#ADS-002</x:v>
      </x:c>
      <x:c r="K10" s="48"/>
      <x:c r="L10" s="48" t="str">
        <x:v>V2-DEV</x:v>
      </x:c>
      <x:c r="M10" s="48" t="str">
        <x:v>Codex QA</x:v>
      </x:c>
      <x:c r="N10" s="58" t="n">
        <x:v>46301</x:v>
      </x:c>
      <x:c r="O10" s="55" t="str"/>
    </x:row>
    <x:row r="11" ht="76" customHeight="1">
      <x:c r="A11" s="42" t="str">
        <x:v>ADS-003</x:v>
      </x:c>
      <x:c r="B11" s="42" t="str">
        <x:v>LOCAL DEV</x:v>
      </x:c>
      <x:c r="C11" s="42" t="str">
        <x:v>P0 - Critical</x:v>
      </x:c>
      <x:c r="D11" s="42" t="str">
        <x:v>Correct active game and renderer</x:v>
      </x:c>
      <x:c r="E11" s="48" t="str">
        <x:v>Pass</x:v>
      </x:c>
      <x:c r="F11" s="48" t="str">
        <x:v>PREVIOUS RESULT: Fail. Panel identified current game reactor-stack but reported Connected renderer NO and Renderer ready NO; events repeatedly alternated connected/disconnected.
NEW RESULT: PASS; COMPLETED.
REASON: Panel navigation Orbit→Reactor→Home updated current game and placements; both games reported connected renderer, Home no attached game/renderer.
SCOPE: LOCAL DEV 5191
V3: Pass; retained V2 evidence, not rerun. 
Session: V2-DEV; scope: LOCAL DEV 5191. See QA_FINALIZATION_V3_JOURNAL.json#ADS-003 and HANDOFF_AND_FIX_QUEUE.md.
Retained prior verified evidence — not rerun in Final AI pass.</x:v>
      </x:c>
      <x:c r="G11" s="42"/>
      <x:c r="H11" s="42" t="str">
        <x:v>Navigate Orbit → Reactor → Home with panel open.</x:v>
      </x:c>
      <x:c r="I11" s="42" t="str">
        <x:v>Current game/placements update. Each integrated game reports a connected renderer; Home has no attached game.</x:v>
      </x:c>
      <x:c r="J11" s="48" t="str">
        <x:v>C:/Users/mlgjm/OneDrive/Desktop/GameWebsite/outputs/qa-recovery-v2/QA_Evidence/orbit-ads-runtime.txt; C:/Users/mlgjm/OneDrive/Desktop/GameWebsite/outputs/qa-recovery-v2/QA_Evidence/reactor-and-ad-connected.txt; C:/Users/mlgjm/OneDrive/Desktop/GameWebsite/outputs/qa-recovery-v2/QA_Evidence/ad-home-no-renderer.txt; historical: C:/Users/mlgjm/OneDrive/Desktop/GameWebsite/outputs/qa-20261006/QA_Evidence/notes/browser-observations.md; V3 journal: C:/Users/mlgjm/OneDrive/Desktop/GameWebsite/outputs/qa-finalization-v3/QA_FINALIZATION_V3_JOURNAL.json#ADS-003</x:v>
      </x:c>
      <x:c r="K11" s="48" t="str">
        <x:v>QA-003</x:v>
      </x:c>
      <x:c r="L11" s="48" t="str">
        <x:v>V2-DEV</x:v>
      </x:c>
      <x:c r="M11" s="48" t="str">
        <x:v>Codex QA</x:v>
      </x:c>
      <x:c r="N11" s="58" t="n">
        <x:v>46301</x:v>
      </x:c>
      <x:c r="O11" s="54" t="str"/>
    </x:row>
    <x:row r="12" ht="76" customHeight="1">
      <x:c r="A12" s="44" t="str">
        <x:v>ADS-004</x:v>
      </x:c>
      <x:c r="B12" s="44" t="str">
        <x:v>LOCAL DEV</x:v>
      </x:c>
      <x:c r="C12" s="44" t="str">
        <x:v>P0 - Critical</x:v>
      </x:c>
      <x:c r="D12" s="44" t="str">
        <x:v>Fresh defaults and reset</x:v>
      </x:c>
      <x:c r="E12" s="48" t="str">
        <x:v>Pass</x:v>
      </x:c>
      <x:c r="F12" s="48" t="str">
        <x:v>PREVIOUS RESULT: Pass. After observing Startup enabled, RESET DEFAULTS restored Startup OFF and the panel returned default settings/readouts with session counters at zero.
NEW RESULT: PASS; COMPLETED.
REASON: RESET DEFAULTS restored startupOFF, Unlimited interstitial180/180/180, rewardedON10, bannerOFF, courtesy1000ms. Reset did not erase shown/receipt history.
SCOPE: LOCAL DEV 5191
V3: Pass; retained V2 evidence, not rerun. 
Session: V2-DEV; scope: LOCAL DEV 5191. See QA_FINALIZATION_V3_JOURNAL.json#ADS-004 and HANDOFF_AND_FIX_QUEUE.md.
Retained prior verified evidence — not rerun in Final AI pass.</x:v>
      </x:c>
      <x:c r="G12" s="44" t="str">
        <x:v>Reset defaults does not erase safety history; reload for a new page session.</x:v>
      </x:c>
      <x:c r="H12" s="44" t="str">
        <x:v>In a test profile use RESET DEFAULTS; inspect global switches and numbers.</x:v>
      </x:c>
      <x:c r="I12" s="44" t="str">
        <x:v>Startup OFF; interstitial Unlimited with 180/180/180 timing; rewarded ON with shared 10/session; banner OFF; courtesy 1000ms.</x:v>
      </x:c>
      <x:c r="J12" s="48" t="str">
        <x:v>C:/Users/mlgjm/OneDrive/Desktop/GameWebsite/outputs/qa-recovery-v2/QA_Evidence/ad-reset-defaults.txt; historical: C:/Users/mlgjm/OneDrive/Desktop/GameWebsite/outputs/qa-20261006/QA_Evidence/notes/browser-observations.md; V3 journal: C:/Users/mlgjm/OneDrive/Desktop/GameWebsite/outputs/qa-finalization-v3/QA_FINALIZATION_V3_JOURNAL.json#ADS-004</x:v>
      </x:c>
      <x:c r="K12" s="48"/>
      <x:c r="L12" s="48" t="str">
        <x:v>V2-DEV</x:v>
      </x:c>
      <x:c r="M12" s="48" t="str">
        <x:v>Codex QA</x:v>
      </x:c>
      <x:c r="N12" s="58" t="n">
        <x:v>46301</x:v>
      </x:c>
      <x:c r="O12" s="55" t="str"/>
    </x:row>
    <x:row r="13" ht="76" customHeight="1">
      <x:c r="A13" s="42" t="str">
        <x:v>ADS-005</x:v>
      </x:c>
      <x:c r="B13" s="42" t="str">
        <x:v>LOCAL DEV</x:v>
      </x:c>
      <x:c r="C13" s="42" t="str">
        <x:v>P1 - Required</x:v>
      </x:c>
      <x:c r="D13" s="42" t="str">
        <x:v>Legacy finite-limit migration</x:v>
      </x:c>
      <x:c r="E13" s="48" t="str">
        <x:v>Pass</x:v>
      </x:c>
      <x:c r="F13" s="48" t="str">
        <x:v>PREVIOUS RESULT: Blocked. HUMAN TEST REQUIRED: Legacy finite-cap migration requires a backed-up test storage value; do not seed or overwrite the existing browser profile.
NEW RESULT: NOT_EXECUTED; ENVIRONMENT_BLOCKED.
REASON: Legacy-schema migration needs a backed-up isolated storage fixture. Current UI cannot seed legacy schema, and read-only browser evaluation cannot mutate storage.
SCOPE: Available capability inventory and UI fixture audit
V3: Blocked [FIXTURE_UNAVAILABLE]. Proven already: Legacy-schema migration needs a backed-up isolated storage fixture. Current UI cannot seed legacy schema, and read-only browser evaluation cannot mutate storage.
Remaining: Required assertions not yet fully verified: Non-modal Use new default/Keep existing limit choice; unrelated preferences preserved; no game-save change. Procedure: With a backed-up test DEV storage value from the old schema, load panel; try each migration choice in separate profiles.
Specific reason: Legacy-schema migration needs a backed-up isolated storage fixture. Current UI cannot seed legacy schema, and read-only browser evaluation cannot mutate storage.
Attempted this run: no. Owner: Engineer. Next step: Establish the specific required fixture/tool/runtime, then Human tester executes: Required assertions not yet fully verified: Non-modal Use new default/Keep existing limit choice; unrelated preferences preserved; no game-save change. Procedure: With a backed-up test DEV storage value from the old schema, load panel; try each migration choice in separate profiles.
Session: S02; scope: Available capability inventory and UI fixture audit. See QA_FINALIZATION_V3_JOURNAL.json#ADS-005 and HANDOFF_AND_FIX_QUEUE.md.
FINAL AI 4B.2 (2026-10-07): BLOCKED — HUMAN TESTING REQUIRED [ENGINEERING_ACCESS].
Why AI did not finish: The required isolated profile, controlled storage fixture, cache-disable/deployment inspection or attributed console/network surface is unavailable. One capability inventory/readiness check was sufficient; no repeated unsupported attempts.
AI already proved: No complete independent evidence for the remaining assertions; historical observations remain in the workbook.
Remaining: Non-modal Use new default/Keep existing limit choice; unrelated preferences preserved; no game-save change. Procedure: With a backed-up test DEV storage value from the old schema, load panel; try each migration choice in separate profiles.
Human action (HQA-11): 1. Use LOCAL DEV; Engineer with disposable native browser profiles and controlled storage fixtures; never ordinary personal origin data. 2. Developer-assisted; never overwrite personal profile keys. 3. Execute only the remaining assertion: Non-modal Use new default/Keep existing limit choice; unrelated preferences preserved; no game-save change. Procedure: With a backed-up test DEV storage value from the old schema, load panel; try each migration choice in separate profiles.
Expected: Non-modal Use new default/Keep existing limit choice; unrelated preferences preserved; no game-save change.
Capture: Pass/Fail per ID, screenshot or timestamped video/state snapshot, device/OS/browser versions, viewport/zoom/DPR and a note; compare prior evidence instead of repeating proven subassertions.
Session/evidence: S18; Historical evidence retained; no fresh case execution claimed. Full grouped instructions: HUMAN_QA_FINAL.md#hqa-11.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13" s="42" t="str">
        <x:v>Developer-assisted; never overwrite personal profile keys.</x:v>
      </x:c>
      <x:c r="H13" s="42" t="str">
        <x:v>With a backed-up test DEV storage value from the old schema, load panel; try each migration choice in separate profiles.</x:v>
      </x:c>
      <x:c r="I13" s="42" t="str">
        <x:v>Non-modal Use new default/Keep existing limit choice; unrelated preferences preserved; no game-save change.</x:v>
      </x:c>
      <x:c r="J13" s="48" t="str">
        <x:v>C:/Users/mlgjm/OneDrive/Desktop/GameWebsite/outputs/qa-recovery-v2/QA_Evidence/capability-blockers.json; historical: C:/Users/mlgjm/OneDrive/Desktop/GameWebsite/outputs/qa-20261006/QA_Evidence/notes/browser-observations.md; V3 journal: C:/Users/mlgjm/OneDrive/Desktop/GameWebsite/outputs/qa-finalization-v3/QA_FINALIZATION_V3_JOURNAL.json#ADS-005
Human QA completion statement, 2026-10-07; prior AI evidence retained.</x:v>
      </x:c>
      <x:c r="K13" s="48" t="str">
        <x:v>ENV-STORAGE-FIXTURE</x:v>
      </x:c>
      <x:c r="L13" s="48" t="str">
        <x:v>S20</x:v>
      </x:c>
      <x:c r="M13" s="48" t="str">
        <x:v>Hristo</x:v>
      </x:c>
      <x:c r="N13" s="58" t="n">
        <x:v>46302</x:v>
      </x:c>
      <x:c r="O13" s="54" t="str"/>
    </x:row>
    <x:row r="14" ht="76" customHeight="1">
      <x:c r="A14" s="44" t="str">
        <x:v>ADS-006</x:v>
      </x:c>
      <x:c r="B14" s="44" t="str">
        <x:v>LOCAL DEV</x:v>
      </x:c>
      <x:c r="C14" s="44" t="str">
        <x:v>P1 - Required</x:v>
      </x:c>
      <x:c r="D14" s="44" t="str">
        <x:v>Global persisted vs placement session</x:v>
      </x:c>
      <x:c r="E14" s="48" t="str">
        <x:v>Pass</x:v>
      </x:c>
      <x:c r="F14" s="48" t="str">
        <x:v>PREVIOUS RESULT: Blocked. HUMAN TEST REQUIRED: Global-vs-placement persistence needs isolated storage and a reliable editing/reload loop; current numeric edits did not persist.
NEW RESULT: PASS; COMPLETED.
REASON: NormalcommittedglobalCooldown7persistsafterreload; Orbitplayplacementenabledfalsebefore→trueafterreload (sessionoverridecleared). Profilebest1270/20XP10Starsretained; countersfresh0.
SCOPE: LOCAL DEV 5191
V3: Pass; retained V2 evidence, not rerun. 
Session: V2-DEV; scope: LOCAL DEV 5191. See QA_FINALIZATION_V3_JOURNAL.json#ADS-006 and HANDOFF_AND_FIX_QUEUE.md.
Retained prior verified evidence — not rerun in Final AI pass.</x:v>
      </x:c>
      <x:c r="G14" s="44"/>
      <x:c r="H14" s="44" t="str">
        <x:v>Change one global setting and one placement setting; reload same origin.</x:v>
      </x:c>
      <x:c r="I14" s="44" t="str">
        <x:v>Global setting persists; placement tuning is session-only. Game parameters/logs follow separate rules.</x:v>
      </x:c>
      <x:c r="J14" s="48" t="str">
        <x:v>C:/Users/mlgjm/OneDrive/Desktop/GameWebsite/outputs/qa-recovery-v2/QA_Evidence/ad-global-placement-before-reload.txt; C:/Users/mlgjm/OneDrive/Desktop/GameWebsite/outputs/qa-recovery-v2/QA_Evidence/ad-global-placement-after-reload.txt; historical: C:/Users/mlgjm/OneDrive/Desktop/GameWebsite/outputs/qa-20261006/QA_Evidence/notes/browser-observations.md; V3 journal: C:/Users/mlgjm/OneDrive/Desktop/GameWebsite/outputs/qa-finalization-v3/QA_FINALIZATION_V3_JOURNAL.json#ADS-006</x:v>
      </x:c>
      <x:c r="K14" s="48"/>
      <x:c r="L14" s="48" t="str">
        <x:v>V2-DEV</x:v>
      </x:c>
      <x:c r="M14" s="48" t="str">
        <x:v>Codex QA</x:v>
      </x:c>
      <x:c r="N14" s="58" t="n">
        <x:v>46301</x:v>
      </x:c>
      <x:c r="O14" s="55" t="str"/>
    </x:row>
    <x:row r="15" ht="76" customHeight="1">
      <x:c r="A15" s="42" t="str">
        <x:v>ADS-007</x:v>
      </x:c>
      <x:c r="B15" s="42" t="str">
        <x:v>LOCAL DEV</x:v>
      </x:c>
      <x:c r="C15" s="42" t="str">
        <x:v>P0 - Critical</x:v>
      </x:c>
      <x:c r="D15" s="42" t="str">
        <x:v>Master OFF</x:v>
      </x:c>
      <x:c r="E15" s="48" t="str">
        <x:v>Pass</x:v>
      </x:c>
      <x:c r="F15" s="48" t="str">
        <x:v>PREVIOUS RESULT: Pass. With Ads master OFF, Force Interstitial returned blocked (disabled), with zero shown; Startup and Rewarded generic tests were also blocked (disabled), all shown counters remained zero. Restored Ads master ON.
NEW RESULT: PASS; COMPLETED.
REASON: MasterOFF cancelled showing mock with closed:disabled, restored prior paused phase. Startup/interstitial/rewarded subsequent requests all blocked disabled; no additional grant. Master restoredON.
SCOPE: LOCAL DEV 5191
V3: Pass; retained V2 evidence, not rerun. 
Session: V2-DEV; scope: LOCAL DEV 5191. See QA_FINALIZATION_V3_JOURNAL.json#ADS-007 and HANDOFF_AND_FIX_QUEUE.md.
Retained prior verified evidence — not rerun in Final AI pass.</x:v>
      </x:c>
      <x:c r="G15" s="42"/>
      <x:c r="H15" s="42" t="str">
        <x:v>Turn Ads master OFF; try startup/interstitial/rewarded previews.</x:v>
      </x:c>
      <x:c r="I15" s="42" t="str">
        <x:v>No normal mock presentation or reward. Gameplay fails open; active mock cancellation restores safely.</x:v>
      </x:c>
      <x:c r="J15" s="48" t="str">
        <x:v>C:/Users/mlgjm/OneDrive/Desktop/GameWebsite/outputs/qa-recovery-v2/QA_Evidence/ad-master-off-cancels.txt; C:/Users/mlgjm/OneDrive/Desktop/GameWebsite/outputs/qa-recovery-v2/QA_Evidence/ad-master-off-force.txt; C:/Users/mlgjm/OneDrive/Desktop/GameWebsite/outputs/qa-recovery-v2/QA_Evidence/ad-master-off-startup.txt; C:/Users/mlgjm/OneDrive/Desktop/GameWebsite/outputs/qa-recovery-v2/QA_Evidence/ad-master-off-reward.txt; historical: C:/Users/mlgjm/OneDrive/Desktop/GameWebsite/outputs/qa-20261006/QA_Evidence/notes/browser-observations.md; V3 journal: C:/Users/mlgjm/OneDrive/Desktop/GameWebsite/outputs/qa-finalization-v3/QA_FINALIZATION_V3_JOURNAL.json#ADS-007</x:v>
      </x:c>
      <x:c r="K15" s="48"/>
      <x:c r="L15" s="48" t="str">
        <x:v>V2-DEV</x:v>
      </x:c>
      <x:c r="M15" s="48" t="str">
        <x:v>Codex QA</x:v>
      </x:c>
      <x:c r="N15" s="58" t="n">
        <x:v>46301</x:v>
      </x:c>
      <x:c r="O15" s="54" t="str"/>
    </x:row>
    <x:row r="16" ht="76" customHeight="1">
      <x:c r="A16" s="44" t="str">
        <x:v>ADS-008</x:v>
      </x:c>
      <x:c r="B16" s="44" t="str">
        <x:v>LOCAL DEV</x:v>
      </x:c>
      <x:c r="C16" s="44" t="str">
        <x:v>P1 - Required</x:v>
      </x:c>
      <x:c r="D16" s="44" t="str">
        <x:v>Startup switch and once/session</x:v>
      </x:c>
      <x:c r="E16" s="48" t="str">
        <x:v>Pass</x:v>
      </x:c>
      <x:c r="F16" s="48" t="str">
        <x:v>PREVIOUS RESULT: Blocked. HUMAN / ENVIRONMENT FOLLOW-UP REQUIRED: Observed Startup Enabled default OFF, Once per session checked, and a temporary ON/OFF toggle. Repeated startup requests and once/session enforcement were not tested. Remaining acceptance criteria were not established in this browser session; complete on the specified supported device/profile or with the missing deterministic setup, then update from direct evidence.
NEW RESULT: NOT_EXECUTED; RUNNABLE.
REASON: Existing evidence needs a targeted comparison against all expected assertions; no V2 browser execution yet.
SCOPE: Historical evidence only; V2 not executed
V3: Blocked [ENVIRONMENT_SETUP]. Proven already: No complete direct evidence; earlier notes retained above.
Remaining: Required assertions not yet fully verified: Only the due startup opportunity runs. Toggle OFF suppresses future startup requests. Procedure: Enable startup in a fresh session; test actual Start; return to menu and Start again.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Required assertions not yet fully verified: Only the due startup opportunity runs. Toggle OFF suppresses future startup requests. Procedure: Enable startup in a fresh session; test actual Start; return to menu and Start again.
Session: S04; scope: Historical evidence only; V2 not executed. See QA_FINALIZATION_V3_JOURNAL.json#ADS-008 and HANDOFF_AND_FIX_QUEUE.md.
FINAL AI 4B.2 (2026-10-07): Pass. Fresh page session startupON/onceON with placement cap2: first actual Initialize showed/completed startup1; returning menu and second Start produced no second startup (used-session, counter1 although placement room remained). Reset global flags and switchOFF, third actual Start stayed startup shown1/no request; interstitial policy blocked playtime, game still started.
Session/evidence: S18; QA_Evidence/observations.json.</x:v>
      </x:c>
      <x:c r="G16" s="44" t="str">
        <x:v>Placement cap and global requested flag both matter.</x:v>
      </x:c>
      <x:c r="H16" s="44" t="str">
        <x:v>Enable startup in a fresh session; test actual Start; return to menu and Start again.</x:v>
      </x:c>
      <x:c r="I16" s="44" t="str">
        <x:v>Only the due startup opportunity runs. Toggle OFF suppresses future startup requests.</x:v>
      </x:c>
      <x:c r="J16" s="48" t="str">
        <x:v>C:/Users/mlgjm/OneDrive/Desktop/GameWebsite/outputs/qa-20261006/QA_Evidence/notes/browser-observations.md; V3 journal: C:/Users/mlgjm/OneDrive/Desktop/GameWebsite/outputs/qa-finalization-v3/QA_FINALIZATION_V3_JOURNAL.json#ADS-008; FINAL AI: C:/Users/mlgjm/OneDrive/Desktop/GameWebsite/outputs/qa-final-ai/2026-10-07_000739/QA_Evidence/observations.json</x:v>
      </x:c>
      <x:c r="K16" s="48"/>
      <x:c r="L16" s="48" t="str">
        <x:v>S18</x:v>
      </x:c>
      <x:c r="M16" s="48" t="str">
        <x:v>Codex Final AI QA</x:v>
      </x:c>
      <x:c r="N16" s="58" t="n">
        <x:v>46301.8803125</x:v>
      </x:c>
      <x:c r="O16" s="55" t="str"/>
    </x:row>
    <x:row r="17" ht="76" customHeight="1">
      <x:c r="A17" s="42" t="str">
        <x:v>ADS-009</x:v>
      </x:c>
      <x:c r="B17" s="42" t="str">
        <x:v>LOCAL DEV</x:v>
      </x:c>
      <x:c r="C17" s="42" t="str">
        <x:v>P1 - Required</x:v>
      </x:c>
      <x:c r="D17" s="42" t="str">
        <x:v>Startup reset semantics</x:v>
      </x:c>
      <x:c r="E17" s="48" t="str">
        <x:v>Pass</x:v>
      </x:c>
      <x:c r="F17" s="48" t="str">
        <x:v>PREVIOUS RESULT: Blocked. HUMAN / ENVIRONMENT FOLLOW-UP REQUIRED: Startup toggle was restored OFF after one enabled startup presentation; RESET STARTUP semantics were not exercised. Remaining acceptance criteria were not established in this browser session; complete on the specified supported device/profile or with the missing deterministic setup, then update from direct evidence.
NEW RESULT: NOT_EXECUTED; RUNNABLE.
REASON: Existing evidence needs a targeted comparison against all expected assertions; no V2 browser execution yet.
SCOPE: Historical evidence only; V2 not executed
V3: Blocked [ENVIRONMENT_SETUP]. Proven already: No complete direct evidence; earlier notes retained above.
Remaining: Required assertions not yet fully verified: Global startup flags reset only; placement shown history is not silently erased. Help explains how to repeat QA. Procedure: After a shown startup, click RESET STARTUP and inspect placement cap; then start a fresh page session.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Required assertions not yet fully verified: Global startup flags reset only; placement shown history is not silently erased. Help explains how to repeat QA. Procedure: After a shown startup, click RESET STARTUP and inspect placement cap; then start a fresh page session.
Session: S04; scope: Historical evidence only; V2 not executed. See QA_FINALIZATION_V3_JOURNAL.json#ADS-009 and HANDOFF_AND_FIX_QUEUE.md.
FINAL AI 4B.2 (2026-10-07): Pass. After actual startup shown1/completed1 RESET STARTUP cleared only requested/shown/completed global flags; placement reactor.startup still shown1/cap1, interstitial/reward counts retained and game stayed paused. Help explicitly explains history retention. Fresh page reload showed startup flags NO and new page-session counters, no surprise ad.
Session/evidence: S18; QA_Evidence/observations.json.</x:v>
      </x:c>
      <x:c r="G17" s="42"/>
      <x:c r="H17" s="42" t="str">
        <x:v>After a shown startup, click RESET STARTUP and inspect placement cap; then start a fresh page session.</x:v>
      </x:c>
      <x:c r="I17" s="42" t="str">
        <x:v>Global startup flags reset only; placement shown history is not silently erased. Help explains how to repeat QA.</x:v>
      </x:c>
      <x:c r="J17" s="48" t="str">
        <x:v>C:/Users/mlgjm/OneDrive/Desktop/GameWebsite/outputs/qa-20261006/QA_Evidence/notes/browser-observations.md; V3 journal: C:/Users/mlgjm/OneDrive/Desktop/GameWebsite/outputs/qa-finalization-v3/QA_FINALIZATION_V3_JOURNAL.json#ADS-009; FINAL AI: C:/Users/mlgjm/OneDrive/Desktop/GameWebsite/outputs/qa-final-ai/2026-10-07_000739/QA_Evidence/observations.json</x:v>
      </x:c>
      <x:c r="K17" s="48"/>
      <x:c r="L17" s="48" t="str">
        <x:v>S18</x:v>
      </x:c>
      <x:c r="M17" s="48" t="str">
        <x:v>Codex Final AI QA</x:v>
      </x:c>
      <x:c r="N17" s="58" t="n">
        <x:v>46301.8803125</x:v>
      </x:c>
      <x:c r="O17" s="54" t="str"/>
    </x:row>
    <x:row r="18" ht="76" customHeight="1">
      <x:c r="A18" s="44" t="str">
        <x:v>ADS-010</x:v>
      </x:c>
      <x:c r="B18" s="44" t="str">
        <x:v>LOCAL DEV</x:v>
      </x:c>
      <x:c r="C18" s="44" t="str">
        <x:v>P0 - Critical</x:v>
      </x:c>
      <x:c r="D18" s="44" t="str">
        <x:v>First active-play threshold</x:v>
      </x:c>
      <x:c r="E18" s="48" t="str">
        <x:v>Pass</x:v>
      </x:c>
      <x:c r="F18" s="48" t="str">
        <x:v>PREVIOUS RESULT: Blocked. HUMAN TEST REQUIRED: Active-play threshold vs menu time needs controlled, timed gameplay; no threshold claim is made from the synthetic safe-event test.
NEW RESULT: PASS; COMPLETED.
REASON: FreshsessionmenuActive0threshold3; visiblePlayadvancedto11, EligibleYESwait0butshown0/idlenorequest. Pause/settingskeptactiveclockunchanged. Onlyregistered safeeventmaypresent.
SCOPE: LOCAL DEV 5191
V3: Pass; retained V2 evidence, not rerun. 
Session: V2-DEV; scope: LOCAL DEV 5191. See QA_FINALIZATION_V3_JOURNAL.json#ADS-010 and HANDOFF_AND_FIX_QUEUE.md.
Retained prior verified evidence — not rerun in Final AI pass.</x:v>
      </x:c>
      <x:c r="G18" s="44" t="str">
        <x:v>Record chosen timings; restore afterwards.</x:v>
      </x:c>
      <x:c r="H18" s="44" t="str">
        <x:v>Use a short test threshold; leave game in menu, then play visibly.</x:v>
      </x:c>
      <x:c r="I18" s="44" t="str">
        <x:v>Only visible active gameplay advances threshold; reaching it alone never shows an ad.</x:v>
      </x:c>
      <x:c r="J18" s="48" t="str">
        <x:v>C:/Users/mlgjm/OneDrive/Desktop/GameWebsite/outputs/qa-recovery-v2/QA_Evidence/ad-threshold-menu-clock.txt; C:/Users/mlgjm/OneDrive/Desktop/GameWebsite/outputs/qa-recovery-v2/QA_Evidence/ad-threshold-visible-play.txt; C:/Users/mlgjm/OneDrive/Desktop/GameWebsite/outputs/qa-recovery-v2/QA_Evidence/ad-threshold-pause-after-actions.txt; historical: C:/Users/mlgjm/OneDrive/Desktop/GameWebsite/outputs/qa-20261006/QA_Evidence/notes/browser-observations.md; V3 journal: C:/Users/mlgjm/OneDrive/Desktop/GameWebsite/outputs/qa-finalization-v3/QA_FINALIZATION_V3_JOURNAL.json#ADS-010</x:v>
      </x:c>
      <x:c r="K18" s="48"/>
      <x:c r="L18" s="48" t="str">
        <x:v>V2-DEV</x:v>
      </x:c>
      <x:c r="M18" s="48" t="str">
        <x:v>Codex QA</x:v>
      </x:c>
      <x:c r="N18" s="58" t="n">
        <x:v>46301</x:v>
      </x:c>
      <x:c r="O18" s="55" t="str"/>
    </x:row>
    <x:row r="19" ht="76" customHeight="1">
      <x:c r="A19" s="42" t="str">
        <x:v>ADS-011</x:v>
      </x:c>
      <x:c r="B19" s="42" t="str">
        <x:v>LOCAL DEV</x:v>
      </x:c>
      <x:c r="C19" s="42" t="str">
        <x:v>P1 - Required</x:v>
      </x:c>
      <x:c r="D19" s="42" t="str">
        <x:v>Repeat interval</x:v>
      </x:c>
      <x:c r="E19" s="48" t="str">
        <x:v>Pass</x:v>
      </x:c>
      <x:c r="F19" s="48" t="str">
        <x:v>PREVIOUS RESULT: Blocked. HUMAN TEST REQUIRED: Repeat interval needs a controlled sequence of multiple eligible presentations with cap state confirmed.
NEW RESULT: PASS; COMPLETED.
REASON: Afterfirstcompletedmockactive75, repeatinterval3 setswait3; immediatesafeeventblockednot-enough-active-play. Resumeadds3visibleactivesecondsto78, eligibleYES butcountstill1/idlenoauto.
SCOPE: LOCAL DEV 5191
V3: Pass; retained V2 evidence, not rerun. 
Session: V2-DEV; scope: LOCAL DEV 5191. See QA_FINALIZATION_V3_JOURNAL.json#ADS-011 and HANDOFF_AND_FIX_QUEUE.md.
Retained prior verified evidence — not rerun in Final AI pass.</x:v>
      </x:c>
      <x:c r="G19" s="42"/>
      <x:c r="H19" s="42" t="str">
        <x:v>Show interstitial, then observe next active-play threshold and wait.</x:v>
      </x:c>
      <x:c r="I19" s="42" t="str">
        <x:v>Next opportunity requires configured additional active play; no duplicate immediate show.</x:v>
      </x:c>
      <x:c r="J19" s="48" t="str">
        <x:v>C:/Users/mlgjm/OneDrive/Desktop/GameWebsite/outputs/qa-recovery-v2/QA_Evidence/ad-repeat-interval-after-show.txt; C:/Users/mlgjm/OneDrive/Desktop/GameWebsite/outputs/qa-recovery-v2/QA_Evidence/ad-repeat-interval-early-block.txt; C:/Users/mlgjm/OneDrive/Desktop/GameWebsite/outputs/qa-recovery-v2/QA_Evidence/ad-repeat-interval-ready-no-auto.txt; historical: C:/Users/mlgjm/OneDrive/Desktop/GameWebsite/outputs/qa-20261006/QA_Evidence/notes/browser-observations.md; V3 journal: C:/Users/mlgjm/OneDrive/Desktop/GameWebsite/outputs/qa-finalization-v3/QA_FINALIZATION_V3_JOURNAL.json#ADS-011</x:v>
      </x:c>
      <x:c r="K19" s="48"/>
      <x:c r="L19" s="48" t="str">
        <x:v>V2-DEV</x:v>
      </x:c>
      <x:c r="M19" s="48" t="str">
        <x:v>Codex QA</x:v>
      </x:c>
      <x:c r="N19" s="58" t="n">
        <x:v>46301</x:v>
      </x:c>
      <x:c r="O19" s="54" t="str"/>
    </x:row>
    <x:row r="20" ht="76" customHeight="1">
      <x:c r="A20" s="44" t="str">
        <x:v>ADS-012</x:v>
      </x:c>
      <x:c r="B20" s="44" t="str">
        <x:v>LOCAL DEV</x:v>
      </x:c>
      <x:c r="C20" s="44" t="str">
        <x:v>P0 - Critical</x:v>
      </x:c>
      <x:c r="D20" s="44" t="str">
        <x:v>Shared cooldown</x:v>
      </x:c>
      <x:c r="E20" s="48" t="str">
        <x:v>Pass</x:v>
      </x:c>
      <x:c r="F20" s="48" t="str">
        <x:v>PREVIOUS RESULT: Pass. After one eligible safe-event interstitial completed, subsequent safe-event requests in the same session were blocked with reason cooldown; Reset Cooldown and Reset Eligibility Timer then restored test readiness.
NEW RESULT: PASS; COMPLETED.
REASON: After actual fullscreen show and cooldown60, next approved request blocked cooldown with shown count3 unchanged.
SCOPE: LOCAL DEV 5191
V3: Pass; retained V2 evidence, not rerun. 
Session: V2-DEV; scope: LOCAL DEV 5191. See QA_FINALIZATION_V3_JOURNAL.json#ADS-012 and HANDOFF_AND_FIX_QUEUE.md.
Retained prior verified evidence — not rerun in Final AI pass.</x:v>
      </x:c>
      <x:c r="G20" s="44"/>
      <x:c r="H20" s="44" t="str">
        <x:v>Show fullscreen ad; immediately trigger a normally safe action, then wait.</x:v>
      </x:c>
      <x:c r="I20" s="44" t="str">
        <x:v>Cooldown blocks too-soon interstitial with truthful remaining time/reason.</x:v>
      </x:c>
      <x:c r="J20" s="48" t="str">
        <x:v>C:/Users/mlgjm/OneDrive/Desktop/GameWebsite/outputs/qa-recovery-v2/QA_Evidence/ad-shared-cooldown-block.txt; historical: C:/Users/mlgjm/OneDrive/Desktop/GameWebsite/outputs/qa-20261006/QA_Evidence/notes/browser-observations.md; V3 journal: C:/Users/mlgjm/OneDrive/Desktop/GameWebsite/outputs/qa-finalization-v3/QA_FINALIZATION_V3_JOURNAL.json#ADS-012</x:v>
      </x:c>
      <x:c r="K20" s="48"/>
      <x:c r="L20" s="48" t="str">
        <x:v>V2-DEV</x:v>
      </x:c>
      <x:c r="M20" s="48" t="str">
        <x:v>Codex QA</x:v>
      </x:c>
      <x:c r="N20" s="58" t="n">
        <x:v>46301</x:v>
      </x:c>
      <x:c r="O20" s="55" t="str"/>
    </x:row>
    <x:row r="21" ht="76" customHeight="1">
      <x:c r="A21" s="42" t="str">
        <x:v>ADS-013</x:v>
      </x:c>
      <x:c r="B21" s="42" t="str">
        <x:v>LOCAL DEV</x:v>
      </x:c>
      <x:c r="C21" s="42" t="str">
        <x:v>P0 - Critical</x:v>
      </x:c>
      <x:c r="D21" s="42" t="str">
        <x:v>Unlimited session count</x:v>
      </x:c>
      <x:c r="E21" s="48" t="str">
        <x:v>Pass</x:v>
      </x:c>
      <x:c r="F21" s="48" t="str">
        <x:v>PREVIOUS RESULT: Blocked. HUMAN / ENVIRONMENT FOLLOW-UP REQUIRED: After three completed interstitials in this browser session, the next approved run-ended safe event was blocked as session-cap. The currently active global limit state could not be independently confirmed from this UI session, so the unlimited-count requirement is unresolved. Remaining acceptance criteria were not established in this browser session; complete on the specified supported device/profile or with the missing deterministic setup, then update from direct evidence.
NEW RESULT: PASS; COMPLETED.
REASON: Four accelerated safe-transition interstitials completed in one Unlimited session; shown1→4, no old3 cap. All requests used approved events; no game transition from synthetic tests.
SCOPE: LOCAL DEV 5191
V3: Pass; retained V2 evidence, not rerun. 
Session: V2-DEV; scope: LOCAL DEV 5191. See QA_FINALIZATION_V3_JOURNAL.json#ADS-013 and HANDOFF_AND_FIX_QUEUE.md.
Retained prior verified evidence — not rerun in Final AI pass.</x:v>
      </x:c>
      <x:c r="G21" s="42" t="str">
        <x:v>&gt;100-limit regression belongs to automated SYS tests.</x:v>
      </x:c>
      <x:c r="H21" s="42" t="str">
        <x:v>At accelerated DEV timings, show at least four actual interstitials through safe actions.</x:v>
      </x:c>
      <x:c r="I21" s="42" t="str">
        <x:v>Does not stop at former 3/session. Per-placement labels also show Unlimited.</x:v>
      </x:c>
      <x:c r="J21" s="48" t="str">
        <x:v>C:/Users/mlgjm/OneDrive/Desktop/GameWebsite/outputs/qa-recovery-v2/QA_Evidence/ad-unlimited-1.txt; C:/Users/mlgjm/OneDrive/Desktop/GameWebsite/outputs/qa-recovery-v2/QA_Evidence/ad-unlimited-4.txt; historical: C:/Users/mlgjm/OneDrive/Desktop/GameWebsite/outputs/qa-20261006/QA_Evidence/notes/browser-observations.md; V3 journal: C:/Users/mlgjm/OneDrive/Desktop/GameWebsite/outputs/qa-finalization-v3/QA_FINALIZATION_V3_JOURNAL.json#ADS-013</x:v>
      </x:c>
      <x:c r="K21" s="48"/>
      <x:c r="L21" s="48" t="str">
        <x:v>V2-DEV</x:v>
      </x:c>
      <x:c r="M21" s="48" t="str">
        <x:v>Codex QA</x:v>
      </x:c>
      <x:c r="N21" s="58" t="n">
        <x:v>46301</x:v>
      </x:c>
      <x:c r="O21" s="54" t="str"/>
    </x:row>
    <x:row r="22" ht="76" customHeight="1">
      <x:c r="A22" s="44" t="str">
        <x:v>ADS-014</x:v>
      </x:c>
      <x:c r="B22" s="44" t="str">
        <x:v>LOCAL DEV</x:v>
      </x:c>
      <x:c r="C22" s="44" t="str">
        <x:v>P1 - Required</x:v>
      </x:c>
      <x:c r="D22" s="44" t="str">
        <x:v>Finite global cap</x:v>
      </x:c>
      <x:c r="E22" s="48" t="str">
        <x:v>Pass</x:v>
      </x:c>
      <x:c r="F22" s="48" t="str">
        <x:v>PREVIOUS RESULT: Blocked. HUMAN TEST REQUIRED: Finite global cap needs confirmed global-cap switch state and a clean session; current session state was ambiguous.
NEW RESULT: PASS; COMPLETED.
REASON: Fresh page session configured finite2: first two completed, third blocked session-cap shown2; disabling limit allowed next show3 while retaining history.
SCOPE: LOCAL DEV 5191
V3: Pass; retained V2 evidence, not rerun. 
Session: V2-DEV; scope: LOCAL DEV 5191. See QA_FINALIZATION_V3_JOURNAL.json#ADS-014 and HANDOFF_AND_FIX_QUEUE.md.
Retained prior verified evidence — not rerun in Final AI pass.</x:v>
      </x:c>
      <x:c r="G22" s="44"/>
      <x:c r="H22" s="44" t="str">
        <x:v>Enable finite global limit 2 in a fresh session; show two and request a third.</x:v>
      </x:c>
      <x:c r="I22" s="44" t="str">
        <x:v>Third is blocked for session-cap; disabling finite limit resumes eligibility without clearing history.</x:v>
      </x:c>
      <x:c r="J22" s="48" t="str">
        <x:v>C:/Users/mlgjm/OneDrive/Desktop/GameWebsite/outputs/qa-recovery-v2/QA_Evidence/ad-finite-two-first.txt; C:/Users/mlgjm/OneDrive/Desktop/GameWebsite/outputs/qa-recovery-v2/QA_Evidence/ad-finite-two-second.txt; C:/Users/mlgjm/OneDrive/Desktop/GameWebsite/outputs/qa-recovery-v2/QA_Evidence/ad-finite-two-third.txt; C:/Users/mlgjm/OneDrive/Desktop/GameWebsite/outputs/qa-recovery-v2/QA_Evidence/ad-finite-disabled-retains-history.txt; historical: C:/Users/mlgjm/OneDrive/Desktop/GameWebsite/outputs/qa-20261006/QA_Evidence/notes/browser-observations.md; V3 journal: C:/Users/mlgjm/OneDrive/Desktop/GameWebsite/outputs/qa-finalization-v3/QA_FINALIZATION_V3_JOURNAL.json#ADS-014</x:v>
      </x:c>
      <x:c r="K22" s="48"/>
      <x:c r="L22" s="48" t="str">
        <x:v>V2-DEV</x:v>
      </x:c>
      <x:c r="M22" s="48" t="str">
        <x:v>Codex QA</x:v>
      </x:c>
      <x:c r="N22" s="58" t="n">
        <x:v>46301</x:v>
      </x:c>
      <x:c r="O22" s="55" t="str"/>
    </x:row>
    <x:row r="23" ht="76" customHeight="1">
      <x:c r="A23" s="42" t="str">
        <x:v>ADS-015</x:v>
      </x:c>
      <x:c r="B23" s="42" t="str">
        <x:v>LOCAL DEV</x:v>
      </x:c>
      <x:c r="C23" s="42" t="str">
        <x:v>P1 - Required</x:v>
      </x:c>
      <x:c r="D23" s="42" t="str">
        <x:v>Finite placement cap</x:v>
      </x:c>
      <x:c r="E23" s="48" t="str">
        <x:v>Pass</x:v>
      </x:c>
      <x:c r="F23" s="48" t="str">
        <x:v>PREVIOUS RESULT: Blocked. HUMAN TEST REQUIRED: Finite placement cap requires isolated placement-history state and verified UI edits.
NEW RESULT: NOT_EXECUTED; RUNNABLE.
REASON: Existing evidence needs a targeted comparison against all expected assertions; no V2 browser execution yet.
SCOPE: Historical evidence only; V2 not executed
V3: Blocked [ENVIRONMENT_SETUP]. Proven already: No complete direct evidence; earlier notes retained above.
Remaining: Required assertions not yet fully verified: Placement blocks its second show; other placement still follows shared policy. Procedure: Set one interstitial placement limit 1; use it twice while global Unlimited.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Required assertions not yet fully verified: Placement blocks its second show; other placement still follows shared policy. Procedure: Set one interstitial placement limit 1; use it twice while global Unlimited.
Session: S02; scope: Historical evidence only; V2 not executed. See QA_FINALIZATION_V3_JOURNAL.json#ADS-015 and HANDOFF_AND_FIX_QUEUE.md.
FINAL AI 4B.2 (2026-10-07): Pass. Global Unlimited; reactor.start-interstitial limit enabled1. Actual Restart first showed/completed once. After satisfying playtime and clearing cooldown, Pause showed at separate reactor.pause-interstitial. Next actual Restart blocked placement-cap, shown stayed5 total and Start placement1; gameplay continued.
Session/evidence: S18; QA_Evidence/observations.json.</x:v>
      </x:c>
      <x:c r="G23" s="42"/>
      <x:c r="H23" s="42" t="str">
        <x:v>Set one interstitial placement limit 1; use it twice while global Unlimited.</x:v>
      </x:c>
      <x:c r="I23" s="42" t="str">
        <x:v>Placement blocks its second show; other placement still follows shared policy.</x:v>
      </x:c>
      <x:c r="J23" s="48" t="str">
        <x:v>C:/Users/mlgjm/OneDrive/Desktop/GameWebsite/outputs/qa-20261006/QA_Evidence/notes/browser-observations.md; V3 journal: C:/Users/mlgjm/OneDrive/Desktop/GameWebsite/outputs/qa-finalization-v3/QA_FINALIZATION_V3_JOURNAL.json#ADS-015; FINAL AI: C:/Users/mlgjm/OneDrive/Desktop/GameWebsite/outputs/qa-final-ai/2026-10-07_000739/QA_Evidence/observations.json</x:v>
      </x:c>
      <x:c r="K23" s="48"/>
      <x:c r="L23" s="48" t="str">
        <x:v>S18</x:v>
      </x:c>
      <x:c r="M23" s="48" t="str">
        <x:v>Codex Final AI QA</x:v>
      </x:c>
      <x:c r="N23" s="58" t="n">
        <x:v>46301.8803125</x:v>
      </x:c>
      <x:c r="O23" s="54" t="str"/>
    </x:row>
    <x:row r="24" ht="76" customHeight="1">
      <x:c r="A24" s="44" t="str">
        <x:v>ADS-016</x:v>
      </x:c>
      <x:c r="B24" s="44" t="str">
        <x:v>LOCAL DEV</x:v>
      </x:c>
      <x:c r="C24" s="44" t="str">
        <x:v>P1 - Required</x:v>
      </x:c>
      <x:c r="D24" s="44" t="str">
        <x:v>Enabled zero cap</x:v>
      </x:c>
      <x:c r="E24" s="48" t="str">
        <x:v>Pass</x:v>
      </x:c>
      <x:c r="F24" s="48" t="str">
        <x:v>PREVIOUS RESULT: Blocked. HUMAN TEST REQUIRED: Zero-cap behavior requires a reliable numeric setting update and fresh safety history.
NEW RESULT: PASS; COMPLETED.
REASON: Enabled finite0 returned session-cap and did not show; zero never became Unlimited.
SCOPE: LOCAL DEV 5191
V3: Pass; retained V2 evidence, not rerun. 
Session: V2-DEV; scope: LOCAL DEV 5191. See QA_FINALIZATION_V3_JOURNAL.json#ADS-016 and HANDOFF_AND_FIX_QUEUE.md.
Retained prior verified evidence — not rerun in Final AI pass.</x:v>
      </x:c>
      <x:c r="G24" s="44"/>
      <x:c r="H24" s="44" t="str">
        <x:v>Enable finite limit zero; request an interstitial.</x:v>
      </x:c>
      <x:c r="I24" s="44" t="str">
        <x:v>Zero blocks; it is never interpreted as Unlimited.</x:v>
      </x:c>
      <x:c r="J24" s="48" t="str">
        <x:v>C:/Users/mlgjm/OneDrive/Desktop/GameWebsite/outputs/qa-recovery-v2/QA_Evidence/ad-finite-zero.txt; historical: C:/Users/mlgjm/OneDrive/Desktop/GameWebsite/outputs/qa-20261006/QA_Evidence/notes/browser-observations.md; V3 journal: C:/Users/mlgjm/OneDrive/Desktop/GameWebsite/outputs/qa-finalization-v3/QA_FINALIZATION_V3_JOURNAL.json#ADS-016</x:v>
      </x:c>
      <x:c r="K24" s="48"/>
      <x:c r="L24" s="48" t="str">
        <x:v>V2-DEV</x:v>
      </x:c>
      <x:c r="M24" s="48" t="str">
        <x:v>Codex QA</x:v>
      </x:c>
      <x:c r="N24" s="58" t="n">
        <x:v>46301</x:v>
      </x:c>
      <x:c r="O24" s="55" t="str"/>
    </x:row>
    <x:row r="25" ht="76" customHeight="1">
      <x:c r="A25" s="42" t="str">
        <x:v>ADS-017</x:v>
      </x:c>
      <x:c r="B25" s="42" t="str">
        <x:v>LOCAL DEV</x:v>
      </x:c>
      <x:c r="C25" s="42" t="str">
        <x:v>P1 - Required</x:v>
      </x:c>
      <x:c r="D25" s="42" t="str">
        <x:v>Placement ON/OFF and safe events</x:v>
      </x:c>
      <x:c r="E25" s="48" t="str">
        <x:v>Pass</x:v>
      </x:c>
      <x:c r="F25" s="48" t="str">
        <x:v>PREVIOUS RESULT: Blocked. HUMAN TEST REQUIRED: Placement enable/disable matrix requires verified session-only edits and individual reviewed safe events.
NEW RESULT: NOT_EXECUTED; RUNNABLE.
REASON: Existing evidence needs a targeted comparison against all expected assertions; no V2 browser execution yet.
SCOPE: Historical evidence only; V2 not executed
V3: Blocked [ENVIRONMENT_SETUP]. Proven already: No complete direct evidence; earlier notes retained above.
Remaining: Required assertions not yet fully verified: Only chosen placement disabled; safe-event allowlists cannot be edited to arbitrary buttons. Procedure: Toggle Start and Restart/Pause placements separately; inspect event fields.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Required assertions not yet fully verified: Only chosen placement disabled; safe-event allowlists cannot be edited to arbitrary buttons. Procedure: Toggle Start and Restart/Pause placements separately; inspect event fields.
Session: S02; scope: Historical evidence only; V2 not executed. See QA_FINALIZATION_V3_JOURNAL.json#ADS-017 and HANDOFF_AND_FIX_QUEUE.md.
FINAL AI 4B.2 (2026-10-07): Pass. Independently toggled Start/Pause placement switches: Start OFF with Pause ON allowed Pause; both OFF blocked actual Pause/Restart with disabled; Start ON/Pause OFF blocked Pause and allowed actual Restart. Other switch unchanged. Placement safe events remained read-only paragraph and selector only reviewed values.
Session/evidence: S18; QA_Evidence/observations.json.</x:v>
      </x:c>
      <x:c r="G25" s="42"/>
      <x:c r="H25" s="42" t="str">
        <x:v>Toggle Start and Restart/Pause placements separately; inspect event fields.</x:v>
      </x:c>
      <x:c r="I25" s="42" t="str">
        <x:v>Only chosen placement disabled; safe-event allowlists cannot be edited to arbitrary buttons.</x:v>
      </x:c>
      <x:c r="J25" s="48" t="str">
        <x:v>C:/Users/mlgjm/OneDrive/Desktop/GameWebsite/outputs/qa-20261006/QA_Evidence/notes/browser-observations.md; V3 journal: C:/Users/mlgjm/OneDrive/Desktop/GameWebsite/outputs/qa-finalization-v3/QA_FINALIZATION_V3_JOURNAL.json#ADS-017; FINAL AI: C:/Users/mlgjm/OneDrive/Desktop/GameWebsite/outputs/qa-final-ai/2026-10-07_000739/QA_Evidence/observations.json</x:v>
      </x:c>
      <x:c r="K25" s="48"/>
      <x:c r="L25" s="48" t="str">
        <x:v>S18</x:v>
      </x:c>
      <x:c r="M25" s="48" t="str">
        <x:v>Codex Final AI QA</x:v>
      </x:c>
      <x:c r="N25" s="58" t="n">
        <x:v>46301.8803125</x:v>
      </x:c>
      <x:c r="O25" s="54" t="str"/>
    </x:row>
    <x:row r="26" ht="76" customHeight="1">
      <x:c r="A26" s="44" t="str">
        <x:v>ADS-018</x:v>
      </x:c>
      <x:c r="B26" s="44" t="str">
        <x:v>LOCAL DEV</x:v>
      </x:c>
      <x:c r="C26" s="44" t="str">
        <x:v>P0 - Critical</x:v>
      </x:c>
      <x:c r="D26" s="44" t="str">
        <x:v>Satisfy playtime requirement</x:v>
      </x:c>
      <x:c r="E26" s="48" t="str">
        <x:v>Pass</x:v>
      </x:c>
      <x:c r="F26" s="48" t="str">
        <x:v>PREVIOUS RESULT: Pass. Clicked MAKE ELIGIBLE. Status changed to eligible-awaiting-safe-event; requested, shown and completed remained NO and interstitial counters stayed at zero.
NEW RESULT: PASS; COMPLETED.
REASON: Satisfy active play creates eligible-awaiting-safe-event and no presentation. Cap/cooldown remained effective; only subsequent approved request showed when safety restrictions cleared.
SCOPE: LOCAL DEV 5191
V3: Pass; retained V2 evidence, not rerun. 
Session: V2-DEV; scope: LOCAL DEV 5191. See QA_FINALIZATION_V3_JOURNAL.json#ADS-018 and HANDOFF_AND_FIX_QUEUE.md.
Retained prior verified evidence — not rerun in Final AI pass.</x:v>
      </x:c>
      <x:c r="G26" s="44"/>
      <x:c r="H26" s="44" t="str">
        <x:v>Click the labelled Make Eligible equivalent.</x:v>
      </x:c>
      <x:c r="I26" s="44" t="str">
        <x:v>Only active threshold is satisfied. No ad appears; cooldown, caps and safe event still required.</x:v>
      </x:c>
      <x:c r="J26" s="48" t="str">
        <x:v>C:/Users/mlgjm/OneDrive/Desktop/GameWebsite/outputs/qa-recovery-v2/QA_Evidence/ad-boundary-eligible-no-show.txt; C:/Users/mlgjm/OneDrive/Desktop/GameWebsite/outputs/qa-recovery-v2/QA_Evidence/ad-after-eligible-and-clear.txt; C:/Users/mlgjm/OneDrive/Desktop/GameWebsite/outputs/qa-recovery-v2/QA_Evidence/ad-clear-after-help-dismissed.txt; historical: C:/Users/mlgjm/OneDrive/Desktop/GameWebsite/outputs/qa-20261006/QA_Evidence/notes/browser-observations.md; V3 journal: C:/Users/mlgjm/OneDrive/Desktop/GameWebsite/outputs/qa-finalization-v3/QA_FINALIZATION_V3_JOURNAL.json#ADS-018</x:v>
      </x:c>
      <x:c r="K26" s="48"/>
      <x:c r="L26" s="48" t="str">
        <x:v>V2-DEV</x:v>
      </x:c>
      <x:c r="M26" s="48" t="str">
        <x:v>Codex QA</x:v>
      </x:c>
      <x:c r="N26" s="58" t="n">
        <x:v>46301</x:v>
      </x:c>
      <x:c r="O26" s="55" t="str"/>
    </x:row>
    <x:row r="27" ht="76" customHeight="1">
      <x:c r="A27" s="42" t="str">
        <x:v>ADS-019</x:v>
      </x:c>
      <x:c r="B27" s="42" t="str">
        <x:v>LOCAL DEV</x:v>
      </x:c>
      <x:c r="C27" s="42" t="str">
        <x:v>P1 - Required</x:v>
      </x:c>
      <x:c r="D27" s="42" t="str">
        <x:v>Restart playtime wait</x:v>
      </x:c>
      <x:c r="E27" s="48" t="str">
        <x:v>Pass</x:v>
      </x:c>
      <x:c r="F27" s="48" t="str">
        <x:v>PREVIOUS RESULT: Pass. RESET ELIGIBILITY TIMER returned time-until-threshold from 174s to 180s and left the ad idle.
NEW RESULT: PASS; COMPLETED.
REASON: Restart playtime wait changed next wait to180 at current active total; request history and game state retained.
SCOPE: LOCAL DEV 5191
V3: Pass; retained V2 evidence, not rerun. 
Session: V2-DEV; scope: LOCAL DEV 5191. See QA_FINALIZATION_V3_JOURNAL.json#ADS-019 and HANDOFF_AND_FIX_QUEUE.md.
Retained prior verified evidence — not rerun in Final AI pass.</x:v>
      </x:c>
      <x:c r="G27" s="42"/>
      <x:c r="H27" s="42" t="str">
        <x:v>Note active total; click Restart playtime wait.</x:v>
      </x:c>
      <x:c r="I27" s="42" t="str">
        <x:v>Next threshold = current active total + firstSeconds; game/time/caps are not reset.</x:v>
      </x:c>
      <x:c r="J27" s="48" t="str">
        <x:v>C:/Users/mlgjm/OneDrive/Desktop/GameWebsite/outputs/qa-recovery-v2/QA_Evidence/ad-restart-wait.txt; historical: C:/Users/mlgjm/OneDrive/Desktop/GameWebsite/outputs/qa-20261006/QA_Evidence/notes/browser-observations.md; V3 journal: C:/Users/mlgjm/OneDrive/Desktop/GameWebsite/outputs/qa-finalization-v3/QA_FINALIZATION_V3_JOURNAL.json#ADS-019</x:v>
      </x:c>
      <x:c r="K27" s="48"/>
      <x:c r="L27" s="48" t="str">
        <x:v>V2-DEV</x:v>
      </x:c>
      <x:c r="M27" s="48" t="str">
        <x:v>Codex QA</x:v>
      </x:c>
      <x:c r="N27" s="58" t="n">
        <x:v>46301</x:v>
      </x:c>
      <x:c r="O27" s="54" t="str"/>
    </x:row>
    <x:row r="28" ht="76" customHeight="1">
      <x:c r="A28" s="44" t="str">
        <x:v>ADS-020</x:v>
      </x:c>
      <x:c r="B28" s="44" t="str">
        <x:v>LOCAL DEV</x:v>
      </x:c>
      <x:c r="C28" s="44" t="str">
        <x:v>P1 - Required</x:v>
      </x:c>
      <x:c r="D28" s="44" t="str">
        <x:v>Clear interstitial cooldown</x:v>
      </x:c>
      <x:c r="E28" s="48" t="str">
        <x:v>Pass</x:v>
      </x:c>
      <x:c r="F28" s="48" t="str">
        <x:v>PREVIOUS RESULT: Pass. RESET COOLDOWN added a dev-reset-cooldown event and left the ad idle with no request or presentation.
NEW RESULT: PASS; COMPLETED.
REASON: Verified actual Clear cooldown event after dismissing help: cooldown0 while wait180 remained; safe request then blocked not-enough-active-play, shown4 unchanged.
SCOPE: LOCAL DEV 5191
V3: Pass; retained V2 evidence, not rerun. 
Session: V2-DEV; scope: LOCAL DEV 5191. See QA_FINALIZATION_V3_JOURNAL.json#ADS-020 and HANDOFF_AND_FIX_QUEUE.md.
Retained prior verified evidence — not rerun in Final AI pass.</x:v>
      </x:c>
      <x:c r="G28" s="44"/>
      <x:c r="H28" s="44" t="str">
        <x:v>Clear cooldown while active-play wait still remains.</x:v>
      </x:c>
      <x:c r="I28" s="44" t="str">
        <x:v>Only shared cooldown removed; threshold and placement restrictions remain.</x:v>
      </x:c>
      <x:c r="J28" s="48" t="str">
        <x:v>C:/Users/mlgjm/OneDrive/Desktop/GameWebsite/outputs/qa-recovery-v2/QA_Evidence/ad-clear-cooldown-wait-confirmed.txt; C:/Users/mlgjm/OneDrive/Desktop/GameWebsite/outputs/qa-recovery-v2/QA_Evidence/ad-clear-cooldown-wait-block.txt; historical: C:/Users/mlgjm/OneDrive/Desktop/GameWebsite/outputs/qa-20261006/QA_Evidence/notes/browser-observations.md; V3 journal: C:/Users/mlgjm/OneDrive/Desktop/GameWebsite/outputs/qa-finalization-v3/QA_FINALIZATION_V3_JOURNAL.json#ADS-020</x:v>
      </x:c>
      <x:c r="K28" s="48"/>
      <x:c r="L28" s="48" t="str">
        <x:v>V2-DEV</x:v>
      </x:c>
      <x:c r="M28" s="48" t="str">
        <x:v>Codex QA</x:v>
      </x:c>
      <x:c r="N28" s="58" t="n">
        <x:v>46301</x:v>
      </x:c>
      <x:c r="O28" s="55" t="str"/>
    </x:row>
    <x:row r="29" ht="76" customHeight="1">
      <x:c r="A29" s="42" t="str">
        <x:v>ADS-021</x:v>
      </x:c>
      <x:c r="B29" s="42" t="str">
        <x:v>LOCAL DEV</x:v>
      </x:c>
      <x:c r="C29" s="42" t="str">
        <x:v>P1 - Required</x:v>
      </x:c>
      <x:c r="D29" s="42" t="str">
        <x:v>Test safe transition selector</x:v>
      </x:c>
      <x:c r="E29" s="48" t="str">
        <x:v>Pass</x:v>
      </x:c>
      <x:c r="F29" s="48" t="str">
        <x:v>PREVIOUS RESULT: Fail. On Reactor, after Make Eligible and SIMULATE SAFE EVENT (run-ended), the host accepted the interstitial request but no player presentation began; Request active stayed YES and placement controls became disabled until page reload. On Orbit the same host control flow completed normally, isolating the failure to Reactor renderer integration.
NEW RESULT: NOT_EXECUTED; RUNNABLE.
REASON: Historical failure requires clean V2 reproduction; not yet confirmed.
SCOPE: Historical evidence only; V2 not executed
V3: Blocked [ENVIRONMENT_SETUP]. Proven already: No complete direct evidence; earlier notes retained above.
Remaining: Required assertions not yet fully verified: DEV identity/no-game-transition path; normal policy applies; does not press actual Start/Pause or grant rewards. Procedure: Choose each approved current-game event and run synthetic test.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Required assertions not yet fully verified: DEV identity/no-game-transition path; normal policy applies; does not press actual Start/Pause or grant rewards. Procedure: Choose each approved current-game event and run synthetic test.
Session: S02; scope: Historical evidence only; V2 not executed. See QA_FINALIZATION_V3_JOURNAL.json#ADS-021 and HANDOFF_AND_FIX_QUEUE.md.
FINAL AI 4B.2 (2026-10-07): Pass. Reactor approved event selector only start-requested/pause-requested. Both eligible synthetic requests completed via dev-reactor-stack-interstitial, actual game remained menu and no reward. Between them pause request was blocked not-enough-active-play, establishing normal policy; shortcut only supplied prerequisite.
Session/evidence: S18; QA_Evidence/observations.json.</x:v>
      </x:c>
      <x:c r="G29" s="42" t="str">
        <x:v>Actual game-button QA is separate.</x:v>
      </x:c>
      <x:c r="H29" s="42" t="str">
        <x:v>Choose each approved current-game event and run synthetic test.</x:v>
      </x:c>
      <x:c r="I29" s="42" t="str">
        <x:v>DEV identity/no-game-transition path; normal policy applies; does not press actual Start/Pause or grant rewards.</x:v>
      </x:c>
      <x:c r="J29" s="48" t="str">
        <x:v>C:/Users/mlgjm/OneDrive/Desktop/GameWebsite/outputs/qa-20261006/QA_Evidence/notes/browser-observations.md; V3 journal: C:/Users/mlgjm/OneDrive/Desktop/GameWebsite/outputs/qa-finalization-v3/QA_FINALIZATION_V3_JOURNAL.json#ADS-021; FINAL AI: C:/Users/mlgjm/OneDrive/Desktop/GameWebsite/outputs/qa-final-ai/2026-10-07_000739/QA_Evidence/observations.json</x:v>
      </x:c>
      <x:c r="K29" s="48" t="str">
        <x:v>QA-003</x:v>
      </x:c>
      <x:c r="L29" s="48" t="str">
        <x:v>S18</x:v>
      </x:c>
      <x:c r="M29" s="48" t="str">
        <x:v>Codex Final AI QA</x:v>
      </x:c>
      <x:c r="N29" s="58" t="n">
        <x:v>46301.8803125</x:v>
      </x:c>
      <x:c r="O29" s="54" t="str"/>
    </x:row>
    <x:row r="30" ht="76" customHeight="1">
      <x:c r="A30" s="44" t="str">
        <x:v>ADS-022</x:v>
      </x:c>
      <x:c r="B30" s="44" t="str">
        <x:v>LOCAL DEV</x:v>
      </x:c>
      <x:c r="C30" s="44" t="str">
        <x:v>P1 - Required</x:v>
      </x:c>
      <x:c r="D30" s="44" t="str">
        <x:v>Force mock policy bypass</x:v>
      </x:c>
      <x:c r="E30" s="48" t="str">
        <x:v>Pass</x:v>
      </x:c>
      <x:c r="F30" s="48" t="str">
        <x:v>PREVIOUS RESULT: Fail. The forced mock interstitial was visible with an enabled early-close control; this contradicts the no-skip/early-close rule.
NEW RESULT: NOT_EXECUTED; RUNNABLE.
REASON: Historical failure requires clean V2 reproduction; not yet confirmed.
SCOPE: Historical evidence only; V2 not executed
V3: Blocked [ENVIRONMENT_SETUP]. Proven already: No complete direct evidence; earlier notes retained above.
Remaining: Required assertions not yet fully verified: First can bypass documented interstitial policy; master OFF still blocks. No rewards/validation bypass. Procedure: Use Force with interstitial type switch OFF; repeat with master OFF.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Required assertions not yet fully verified: First can bypass documented interstitial policy; master OFF still blocks. No rewards/validation bypass. Procedure: Use Force with interstitial type switch OFF; repeat with master OFF.
Session: S02; scope: Historical evidence only; V2 not executed. See QA_FINALIZATION_V3_JOURNAL.json#ADS-022 and HANDOFF_AND_FIX_QUEUE.md.
FINAL AI 4B.2 (2026-10-07): Pass. Force with interstitial type OFF completed one dev-reactor-stack-interstitial mock while Reactor stayed menu. With Ads master OFF the next Force was blocked disabled and shown remained1. No reward/game transition. Restored both switches.
Session/evidence: S18; QA_Evidence/observations.json.</x:v>
      </x:c>
      <x:c r="G30" s="44" t="str">
        <x:v>DEV presentation test, not proof of real triggers.</x:v>
      </x:c>
      <x:c r="H30" s="44" t="str">
        <x:v>Use Force with interstitial type switch OFF; repeat with master OFF.</x:v>
      </x:c>
      <x:c r="I30" s="44" t="str">
        <x:v>First can bypass documented interstitial policy; master OFF still blocks. No rewards/validation bypass.</x:v>
      </x:c>
      <x:c r="J30" s="48" t="str">
        <x:v>C:/Users/mlgjm/OneDrive/Desktop/GameWebsite/outputs/qa-20261006/QA_Evidence/notes/browser-observations.md; V3 journal: C:/Users/mlgjm/OneDrive/Desktop/GameWebsite/outputs/qa-finalization-v3/QA_FINALIZATION_V3_JOURNAL.json#ADS-022; FINAL AI: C:/Users/mlgjm/OneDrive/Desktop/GameWebsite/outputs/qa-final-ai/2026-10-07_000739/QA_Evidence/observations.json</x:v>
      </x:c>
      <x:c r="K30" s="48" t="str">
        <x:v>QA-001</x:v>
      </x:c>
      <x:c r="L30" s="48" t="str">
        <x:v>S18</x:v>
      </x:c>
      <x:c r="M30" s="48" t="str">
        <x:v>Codex Final AI QA</x:v>
      </x:c>
      <x:c r="N30" s="58" t="n">
        <x:v>46301.8803125</x:v>
      </x:c>
      <x:c r="O30" s="55" t="str"/>
    </x:row>
    <x:row r="31" ht="76" customHeight="1">
      <x:c r="A31" s="42" t="str">
        <x:v>ADS-023</x:v>
      </x:c>
      <x:c r="B31" s="42" t="str">
        <x:v>LOCAL DEV</x:v>
      </x:c>
      <x:c r="C31" s="42" t="str">
        <x:v>P1 - Required</x:v>
      </x:c>
      <x:c r="D31" s="42" t="str">
        <x:v>State simulation is diagnostic</x:v>
      </x:c>
      <x:c r="E31" s="48" t="str">
        <x:v>Pass</x:v>
      </x:c>
      <x:c r="F31" s="48" t="str">
        <x:v>PREVIOUS RESULT: Pass. Changed simulated state from unknown to playing; website diagnostics changed while Reactor remained on its initial menu. Restored simulated state to unknown.
NEW RESULT: NOT_EXECUTED; RUNNABLE.
REASON: Existing evidence needs a targeted comparison against all expected assertions; no V2 browser execution yet.
SCOPE: Historical evidence only; V2 not executed
V3: Blocked [ENVIRONMENT_SETUP]. Proven already: No complete direct evidence; earlier notes retained above.
Remaining: Required assertions not yet fully verified: Panel help identifies service-side simulation; it does not actually pause/restart the game. Procedure: Choose menu/playing/paused in simulated state selector without actual gameplay changes.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Required assertions not yet fully verified: Panel help identifies service-side simulation; it does not actually pause/restart the game. Procedure: Choose menu/playing/paused in simulated state selector without actual gameplay changes.
Session: S02; scope: Historical evidence only; V2 not executed. See QA_FINALIZATION_V3_JOURNAL.json#ADS-023 and HANDOFF_AND_FIX_QUEUE.md.
FINAL AI 4B.2 (2026-10-07): Pass. Simulation playing then paused changed host diagnostic state while Reactor remained on INITIALIZE REACTOR menu and scores0/heat0. Label explicitly says does not control game; restored menu.
Session/evidence: S18; QA_Evidence/observations.json.</x:v>
      </x:c>
      <x:c r="G31" s="42" t="str">
        <x:v>Restore via actual game transition/reload.</x:v>
      </x:c>
      <x:c r="H31" s="42" t="str">
        <x:v>Choose menu/playing/paused in simulated state selector without actual gameplay changes.</x:v>
      </x:c>
      <x:c r="I31" s="42" t="str">
        <x:v>Panel help identifies service-side simulation; it does not actually pause/restart the game.</x:v>
      </x:c>
      <x:c r="J31" s="48" t="str">
        <x:v>C:/Users/mlgjm/OneDrive/Desktop/GameWebsite/outputs/qa-20261006/QA_Evidence/notes/browser-observations.md; V3 journal: C:/Users/mlgjm/OneDrive/Desktop/GameWebsite/outputs/qa-finalization-v3/QA_FINALIZATION_V3_JOURNAL.json#ADS-023; FINAL AI: C:/Users/mlgjm/OneDrive/Desktop/GameWebsite/outputs/qa-final-ai/2026-10-07_000739/QA_Evidence/observations.json</x:v>
      </x:c>
      <x:c r="K31" s="48"/>
      <x:c r="L31" s="48" t="str">
        <x:v>S18</x:v>
      </x:c>
      <x:c r="M31" s="48" t="str">
        <x:v>Codex Final AI QA</x:v>
      </x:c>
      <x:c r="N31" s="58" t="n">
        <x:v>46301.8803125</x:v>
      </x:c>
      <x:c r="O31" s="54" t="str"/>
    </x:row>
    <x:row r="32" ht="76" customHeight="1">
      <x:c r="A32" s="44" t="str">
        <x:v>ADS-024</x:v>
      </x:c>
      <x:c r="B32" s="44" t="str">
        <x:v>LOCAL DEV</x:v>
      </x:c>
      <x:c r="C32" s="44" t="str">
        <x:v>P0 - Critical</x:v>
      </x:c>
      <x:c r="D32" s="44" t="str">
        <x:v>Background and paused clocks</x:v>
      </x:c>
      <x:c r="E32" s="48" t="str">
        <x:v>Pass</x:v>
      </x:c>
      <x:c r="F32" s="48" t="str">
        <x:v>PREVIOUS RESULT: Blocked. HUMAN TEST REQUIRED: Pause/hidden-tab clock comparison needs a controlled live run with repeatable active-time measurement.
NEW RESULT: PARTIAL; RUNNABLE.
REASON: Activeclock0inmenu,75whilepausedacrosshelp/settings; pendinggenericadtimekept75whilewall/sessionadvances. Visibleplayresumeto78. Hidden-tabdocumentstate not controllable withcurrentIAB, so hiddenassertionunverified.
SCOPE: LOCAL DEV visible/menu/pause/ad clocks
V3: Blocked [TOOL_LIMITATION]. Proven already: Activeclock0inmenu,75whilepausedacrosshelp/settings; pendinggenericadtimekept75whilewall/sessionadvances. Visibleplayresumeto78. Hidden-tabdocumentstate not controllable withcurrentIAB, so hiddenassertionunverified.
Remaining: Hidden-tab exclusion from active-play clock; menu/pause/ad exclusions already proven.
Specific reason: Activeclock0inmenu,75whilepausedacrosshelp/settings; pendinggenericadtimekept75whilewall/sessionadvances. Visibleplayresumeto78. Hidden-tabdocumentstate not controllable withcurrentIAB, so hiddenassertionunverified.
Attempted this run: no. Owner: Engineer. Next step: Establish the specific required fixture/tool/runtime, then Human tester executes: Hidden-tab exclusion from active-play clock; menu/pause/ad exclusions already proven.
Session: V2-DEV; scope: LOCAL DEV visible/menu/pause/ad clocks. See QA_FINALIZATION_V3_JOURNAL.json#ADS-024 and HANDOFF_AND_FIX_QUEUE.md.
FINAL AI 4B.2 (2026-10-07): BLOCKED — HUMAN TESTING REQUIRED [TOOL_LIMITATION].
Why AI did not finish: Exact board-cell/pointer or resolving-state delivery and/or full hover/touch help assertions are not available through the supported API. Accessible subassertions are retained.
AI already proved: Actual Orbit menu Activeplay29s stayed29 across multiple mock requests/session95→146s. Playing ad flow held Activeplay410s while session908→915s; real paused preview Activeplay418s held session929→932s. Session wall time remained separate.
Remaining: Only true background/hidden-tab clock remains: in native browser record active/session, switch to another tab for30s, return; active should not gain hidden time while session wall time does. This API has no tab activation/visibility-event control.
Human action (HQA-15): 1. Use LOCAL DEV; Native Chrome/Edge with fresh launcher QA namespace, DEV panels and timestamped video. 2. Create a disposable QA/profile when changing saved state; launch qa:dev or qa:preview for the specified local environment and use the actual printed URL. 3. Execute only the remaining assertion: Only true background/hidden-tab clock remains: in native browser record active/session, switch to another tab for30s, return; active should not gain hidden time while session wall time does. This API has no tab activation/visibility-event control.
Expected: Paused/menu/hidden/ad time not counted as active play. Session wall time is a separate readout.
Capture: Pass/Fail per ID, screenshot or timestamped video/state snapshot, device/OS/browser versions, viewport/zoom/DPR and a note; compare prior evidence instead of repeating proven subassertions.
Session/evidence: S18; QA_Evidence/observations.json. Full grouped instructions: HUMAN_QA_FINAL.md#hqa-15.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32" s="44"/>
      <x:c r="H32" s="44" t="str">
        <x:v>Compare active gameplay seconds during play, Pause, menu and hidden tab.</x:v>
      </x:c>
      <x:c r="I32" s="44" t="str">
        <x:v>Paused/menu/hidden/ad time not counted as active play. Session wall time is a separate readout.</x:v>
      </x:c>
      <x:c r="J32" s="48" t="str">
        <x:v>C:/Users/mlgjm/OneDrive/Desktop/GameWebsite/outputs/qa-recovery-v2/QA_Evidence/ad-threshold-menu-clock.txt; C:/Users/mlgjm/OneDrive/Desktop/GameWebsite/outputs/qa-recovery-v2/QA_Evidence/ad-threshold-pause-after-actions.txt; C:/Users/mlgjm/OneDrive/Desktop/GameWebsite/outputs/qa-recovery-v2/QA_Evidence/ad-repeat-interval-after-show.txt; historical: C:/Users/mlgjm/OneDrive/Desktop/GameWebsite/outputs/qa-20261006/QA_Evidence/notes/browser-observations.md; V3 journal: C:/Users/mlgjm/OneDrive/Desktop/GameWebsite/outputs/qa-finalization-v3/QA_FINALIZATION_V3_JOURNAL.json#ADS-024; FINAL AI: C:/Users/mlgjm/OneDrive/Desktop/GameWebsite/outputs/qa-final-ai/2026-10-07_000739/QA_Evidence/observations.json
Human QA completion statement, 2026-10-07; prior AI evidence retained.</x:v>
      </x:c>
      <x:c r="K32" s="48"/>
      <x:c r="L32" s="48" t="str">
        <x:v>S20</x:v>
      </x:c>
      <x:c r="M32" s="48" t="str">
        <x:v>Hristo</x:v>
      </x:c>
      <x:c r="N32" s="58" t="n">
        <x:v>46302</x:v>
      </x:c>
      <x:c r="O32" s="55" t="str"/>
    </x:row>
    <x:row r="33" ht="76" customHeight="1">
      <x:c r="A33" s="42" t="str">
        <x:v>ADS-025</x:v>
      </x:c>
      <x:c r="B33" s="42" t="str">
        <x:v>LOCAL DEV</x:v>
      </x:c>
      <x:c r="C33" s="42" t="str">
        <x:v>P0 - Critical</x:v>
      </x:c>
      <x:c r="D33" s="42" t="str">
        <x:v>Single fullscreen lifecycle</x:v>
      </x:c>
      <x:c r="E33" s="48" t="str">
        <x:v>Pass</x:v>
      </x:c>
      <x:c r="F33" s="48" t="str">
        <x:v>PREVIOUS RESULT: Pass. Orbit play-requested safe event completed the full mock fullscreen lifecycle: accepted, prepared, shown, courtesy, visual start and completed; gameplay then entered play.
NEW RESULT: PASS; COMPLETED.
REASON: While interstitial showing, a rewarded generic request returned another-ad-active; one fullscreen lifecycle only. QA abort ended showing safely.
SCOPE: LOCAL DEV 5191
V3: Pass; retained V2 evidence, not rerun. 
Session: V2-DEV; scope: LOCAL DEV 5191. See QA_FINALIZATION_V3_JOURNAL.json#ADS-025 and HANDOFF_AND_FIX_QUEUE.md.
Retained prior verified evidence — not rerun in Final AI pass.</x:v>
      </x:c>
      <x:c r="G33" s="42"/>
      <x:c r="H33" s="42" t="str">
        <x:v>During a mock, press another test/request button rapidly.</x:v>
      </x:c>
      <x:c r="I33" s="42" t="str">
        <x:v>No overlapping fullscreen lifecycle or duplicated countdown/reward; busy reason visible.</x:v>
      </x:c>
      <x:c r="J33" s="48" t="str">
        <x:v>C:/Users/mlgjm/OneDrive/Desktop/GameWebsite/outputs/qa-recovery-v2/QA_Evidence/ad-concurrency-block.txt; C:/Users/mlgjm/OneDrive/Desktop/GameWebsite/outputs/qa-recovery-v2/QA_Evidence/ad-qa-abort-showing.txt; historical: C:/Users/mlgjm/OneDrive/Desktop/GameWebsite/outputs/qa-20261006/QA_Evidence/notes/browser-observations.md; V3 journal: C:/Users/mlgjm/OneDrive/Desktop/GameWebsite/outputs/qa-finalization-v3/QA_FINALIZATION_V3_JOURNAL.json#ADS-025</x:v>
      </x:c>
      <x:c r="K33" s="48"/>
      <x:c r="L33" s="48" t="str">
        <x:v>V2-DEV</x:v>
      </x:c>
      <x:c r="M33" s="48" t="str">
        <x:v>Codex QA</x:v>
      </x:c>
      <x:c r="N33" s="58" t="n">
        <x:v>46301</x:v>
      </x:c>
      <x:c r="O33" s="54" t="str"/>
    </x:row>
    <x:row r="34" ht="76" customHeight="1">
      <x:c r="A34" s="44" t="str">
        <x:v>ADS-026</x:v>
      </x:c>
      <x:c r="B34" s="44" t="str">
        <x:v>LOCAL DEV</x:v>
      </x:c>
      <x:c r="C34" s="44" t="str">
        <x:v>P0 - Critical</x:v>
      </x:c>
      <x:c r="D34" s="44" t="str">
        <x:v>Courtesy readiness sequence</x:v>
      </x:c>
      <x:c r="E34" s="48" t="str">
        <x:v>Pass</x:v>
      </x:c>
      <x:c r="F34" s="48" t="str">
        <x:v>PREVIOUS RESULT: Blocked. HUMAN / ENVIRONMENT FOLLOW-UP REQUIRED: Courtesy controls were enabled and an Orbit completion emitted presentation-ready, courtesy-started, ad-shown and visual-started in order; preset, mascot and reduced-motion variants were not compared. Remaining acceptance criteria were not established in this browser session; complete on the specified supported device/profile or with the missing deterministic setup, then update from direct evidence.
NEW RESULT: PASS; COMPLETED.
REASON: Successful force presentation recorded readiness then courtesy then show; No fill and Load error returned before courtesy with shown counter unchanged.
SCOPE: LOCAL DEV 5191
V3: Pass; retained V2 evidence, not rerun. 
Session: V2-DEV; scope: LOCAL DEV 5191. See QA_FINALIZATION_V3_JOURNAL.json#ADS-026 and HANDOFF_AND_FIX_QUEUE.md.
Retained prior verified evidence — not rerun in Final AI pass.</x:v>
      </x:c>
      <x:c r="G34" s="44"/>
      <x:c r="H34" s="44" t="str">
        <x:v>Test successful preparation and then No fill/Load error.</x:v>
      </x:c>
      <x:c r="I34" s="44" t="str">
        <x:v>Courtesy appears only after readiness; not on pre-show failure/no-fill.</x:v>
      </x:c>
      <x:c r="J34" s="48" t="str">
        <x:v>C:/Users/mlgjm/OneDrive/Desktop/GameWebsite/outputs/qa-recovery-v2/QA_Evidence/ad-concurrency-block.txt; C:/Users/mlgjm/OneDrive/Desktop/GameWebsite/outputs/qa-recovery-v2/QA_Evidence/ad-no-fill-no-courtesy.txt; C:/Users/mlgjm/OneDrive/Desktop/GameWebsite/outputs/qa-recovery-v2/QA_Evidence/ad-load-error-no-courtesy.txt; historical: C:/Users/mlgjm/OneDrive/Desktop/GameWebsite/outputs/qa-20261006/QA_Evidence/notes/browser-observations.md; V3 journal: C:/Users/mlgjm/OneDrive/Desktop/GameWebsite/outputs/qa-finalization-v3/QA_FINALIZATION_V3_JOURNAL.json#ADS-026</x:v>
      </x:c>
      <x:c r="K34" s="48"/>
      <x:c r="L34" s="48" t="str">
        <x:v>V2-DEV</x:v>
      </x:c>
      <x:c r="M34" s="48" t="str">
        <x:v>Codex QA</x:v>
      </x:c>
      <x:c r="N34" s="58" t="n">
        <x:v>46301</x:v>
      </x:c>
      <x:c r="O34" s="55" t="str"/>
    </x:row>
    <x:row r="35" ht="76" customHeight="1">
      <x:c r="A35" s="42" t="str">
        <x:v>ADS-027</x:v>
      </x:c>
      <x:c r="B35" s="42" t="str">
        <x:v>LOCAL DEV</x:v>
      </x:c>
      <x:c r="C35" s="42" t="str">
        <x:v>P1 - Required</x:v>
      </x:c>
      <x:c r="D35" s="42" t="str">
        <x:v>Courtesy options and mascot</x:v>
      </x:c>
      <x:c r="E35" s="48" t="str">
        <x:v>Pass</x:v>
      </x:c>
      <x:c r="F35" s="48" t="str">
        <x:v>PREVIOUS RESULT: Blocked. HUMAN TEST REQUIRED: Courtesy option/mascot variants need a systematic presentation matrix and device/animation inspection.
NEW RESULT: NOT_EXECUTED; RUNNABLE.
REASON: Existing evidence needs a targeted comparison against all expected assertions; no V2 browser execution yet.
SCOPE: Historical evidence only; V2 not executed
V3: Blocked [ENVIRONMENT_SETUP]. Proven already: No complete direct evidence; earlier notes retained above.
Remaining: Required assertions not yet fully verified: Actual game-local courtesy follows payload; presets/mascot visible only when enabled; banner has no courtesy. Procedure: Toggle master/type switches, mascot, animation and Friendly/Concise; vary duration.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Required assertions not yet fully verified: Actual game-local courtesy follows payload; presets/mascot visible only when enabled; banner has no courtesy. Procedure: Toggle master/type switches, mascot, animation and Friendly/Concise; vary duration.
Session: S02; scope: Historical evidence only; V2 not executed. See QA_FINALIZATION_V3_JOURNAL.json#ADS-027 and HANDOFF_AND_FIX_QUEUE.md.
FINAL AI 4B.2 (2026-10-07): Pass. Actual game-local Friendly with mascot img/data-animatedtrue vs Concise without mascot/data-animatedfalse; distinct headers. Courtesy durations400/1000/2500 exercised. MasterOFF and each startup/interstitial/rewarded courtesyOFF produced direct MOCK AD instead of courtesy; restored switches/defaults. Website mock banner showed separately without fullscreen courtesy.
Session/evidence: S18; QA_Evidence/observations.json.</x:v>
      </x:c>
      <x:c r="G35" s="42" t="str">
        <x:v>Previews can consume safety history.</x:v>
      </x:c>
      <x:c r="H35" s="42" t="str">
        <x:v>Toggle master/type switches, mascot, animation and Friendly/Concise; vary duration.</x:v>
      </x:c>
      <x:c r="I35" s="42" t="str">
        <x:v>Actual game-local courtesy follows payload; presets/mascot visible only when enabled; banner has no courtesy.</x:v>
      </x:c>
      <x:c r="J35" s="48" t="str">
        <x:v>C:/Users/mlgjm/OneDrive/Desktop/GameWebsite/outputs/qa-20261006/QA_Evidence/notes/browser-observations.md; V3 journal: C:/Users/mlgjm/OneDrive/Desktop/GameWebsite/outputs/qa-finalization-v3/QA_FINALIZATION_V3_JOURNAL.json#ADS-027; FINAL AI: C:/Users/mlgjm/OneDrive/Desktop/GameWebsite/outputs/qa-final-ai/2026-10-07_000739/QA_Evidence/observations.json</x:v>
      </x:c>
      <x:c r="K35" s="48"/>
      <x:c r="L35" s="48" t="str">
        <x:v>S18</x:v>
      </x:c>
      <x:c r="M35" s="48" t="str">
        <x:v>Codex Final AI QA</x:v>
      </x:c>
      <x:c r="N35" s="58" t="n">
        <x:v>46301.8803125</x:v>
      </x:c>
      <x:c r="O35" s="54" t="str"/>
    </x:row>
    <x:row r="36" ht="76" customHeight="1">
      <x:c r="A36" s="44" t="str">
        <x:v>ADS-028</x:v>
      </x:c>
      <x:c r="B36" s="44" t="str">
        <x:v>LOCAL DEV</x:v>
      </x:c>
      <x:c r="C36" s="44" t="str">
        <x:v>P1 - Required</x:v>
      </x:c>
      <x:c r="D36" s="44" t="str">
        <x:v>Mock timing controls</x:v>
      </x:c>
      <x:c r="E36" s="48" t="str">
        <x:v>Pass</x:v>
      </x:c>
      <x:c r="F36" s="48" t="str">
        <x:v>PREVIOUS RESULT: Blocked. HUMAN / ENVIRONMENT FOLLOW-UP REQUIRED: A one-shot No fill was consumed during an eligible Orbit safe-event request: requests/accepted=2, prepared/shown=1, no_fill=1, completed=1. Default Complete returned afterward; duration/timeout boundary settings remain untested. Remaining acceptance criteria were not established in this browser session; complete on the specified supported device/profile or with the missing deterministic setup, then update from direct evidence.
NEW RESULT: NOT_EXECUTED; RUNNABLE.
REASON: Existing evidence needs a targeted comparison against all expected assertions; no V2 browser execution yet.
SCOPE: Historical evidence only; V2 not executed
V3: Blocked [ENVIRONMENT_SETUP]. Proven already: No complete direct evidence; earlier notes retained above.
Remaining: Required assertions not yet fully verified: Correct visible waits; valid courtesy+duration not cut off by short unrelated deadline; watchdog errors fail open. Procedure: Change loading, duration and presentation margin individually; run a long valid flow.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Required assertions not yet fully verified: Correct visible waits; valid courtesy+duration not cut off by short unrelated deadline; watchdog errors fail open. Procedure: Change loading, duration and presentation margin individually; run a long valid flow.
Session: S04; scope: Historical evidence only; V2 not executed. See QA_FINALIZATION_V3_JOURNAL.json#ADS-028 and HANDOFF_AND_FIX_QUEUE.md.
FINAL AI 4B.2 (2026-10-07): BLOCKED — HUMAN TESTING REQUIRED [BUDGET / HUMAN QA HANDOFF].
Why AI did not finish: The bounded Final AI testing window did not complete the full compound scenario. This remains AI-suitable or mixed work, handed to Human QA rather than claiming all practical AI testing complete.
AI already proved: Actual loading2000+courtesy2500+mock5000 valid flow stayed showing beyond short presentation margin500 and completed normally; shorter100/500 timings also exercised. Restored300/5000/5000 defaults.
Remaining: Individually measure loading/duration/margin from timestamped video and produce a genuine renderer watchdog expiry/fail-open path; injected provider Timeout is not proof of renderer watchdog.
Human action (HQA-15): 1. Use LOCAL DEV; Native Chrome/Edge with fresh launcher QA namespace, DEV panels and timestamped video. 2. Create a disposable QA/profile when changing saved state; launch qa:dev or qa:preview for the specified local environment and use the actual printed URL. 3. Execute only the remaining assertion: Individually measure loading/duration/margin from timestamped video and produce a genuine renderer watchdog expiry/fail-open path; injected provider Timeout is not proof of renderer watchdog.
Expected: Correct visible waits; valid courtesy+duration not cut off by short unrelated deadline; watchdog errors fail open.
Capture: Pass/Fail per ID, screenshot or timestamped video/state snapshot, device/OS/browser versions, viewport/zoom/DPR and a note; compare prior evidence instead of repeating proven subassertions.
Session/evidence: S18; QA_Evidence/observations.json. Full grouped instructions: HUMAN_QA_FINAL.md#hqa-15.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36" s="44"/>
      <x:c r="H36" s="44" t="str">
        <x:v>Change loading, duration and presentation margin individually; run a long valid flow.</x:v>
      </x:c>
      <x:c r="I36" s="44" t="str">
        <x:v>Correct visible waits; valid courtesy+duration not cut off by short unrelated deadline; watchdog errors fail open.</x:v>
      </x:c>
      <x:c r="J36" s="48" t="str">
        <x:v>C:/Users/mlgjm/OneDrive/Desktop/GameWebsite/outputs/qa-20261006/QA_Evidence/notes/browser-observations.md; V3 journal: C:/Users/mlgjm/OneDrive/Desktop/GameWebsite/outputs/qa-finalization-v3/QA_FINALIZATION_V3_JOURNAL.json#ADS-028; FINAL AI: C:/Users/mlgjm/OneDrive/Desktop/GameWebsite/outputs/qa-final-ai/2026-10-07_000739/QA_Evidence/observations.json
Human QA completion statement, 2026-10-07; prior AI evidence retained.</x:v>
      </x:c>
      <x:c r="K36" s="48"/>
      <x:c r="L36" s="48" t="str">
        <x:v>S20</x:v>
      </x:c>
      <x:c r="M36" s="48" t="str">
        <x:v>Hristo</x:v>
      </x:c>
      <x:c r="N36" s="58" t="n">
        <x:v>46302</x:v>
      </x:c>
      <x:c r="O36" s="55" t="str"/>
    </x:row>
    <x:row r="37" ht="76" customHeight="1">
      <x:c r="A37" s="42" t="str">
        <x:v>ADS-029</x:v>
      </x:c>
      <x:c r="B37" s="42" t="str">
        <x:v>LOCAL DEV</x:v>
      </x:c>
      <x:c r="C37" s="42" t="str">
        <x:v>P1 - Required</x:v>
      </x:c>
      <x:c r="D37" s="42" t="str">
        <x:v>One-shot mock outcome</x:v>
      </x:c>
      <x:c r="E37" s="48" t="str">
        <x:v>Pass</x:v>
      </x:c>
      <x:c r="F37" s="48" t="str">
        <x:v>PREVIOUS RESULT: Blocked. HUMAN / ENVIRONMENT FOLLOW-UP REQUIRED: Orbit run-ended safe-event interstitial completed once end-to-end; repeated one-shot reward/no-fill outcomes remain untested. Remaining acceptance criteria were not established in this browser session; complete on the specified supported device/profile or with the missing deterministic setup, then update from direct evidence.
NEW RESULT: PASS; COMPLETED.
REASON: Selected No fill then separate Load error; each consumed its one-shot result and selector returned Complete. Actual result no_fill/failed, no accidental default reward.
SCOPE: LOCAL DEV 5191
V3: Pass; retained V2 evidence, not rerun. 
Session: V2-DEV; scope: LOCAL DEV 5191. See QA_FINALIZATION_V3_JOURNAL.json#ADS-029 and HANDOFF_AND_FIX_QUEUE.md.
Retained prior verified evidence — not rerun in Final AI pass.</x:v>
      </x:c>
      <x:c r="G37" s="42"/>
      <x:c r="H37" s="42" t="str">
        <x:v>Select nondefault Next result and make a request.</x:v>
      </x:c>
      <x:c r="I37" s="42" t="str">
        <x:v>Selected result consumed for that request then returns to Complete, as documented.</x:v>
      </x:c>
      <x:c r="J37" s="48" t="str">
        <x:v>C:/Users/mlgjm/OneDrive/Desktop/GameWebsite/outputs/qa-recovery-v2/QA_Evidence/ad-no-fill-no-courtesy.txt; C:/Users/mlgjm/OneDrive/Desktop/GameWebsite/outputs/qa-recovery-v2/QA_Evidence/ad-load-error-no-courtesy.txt; historical: C:/Users/mlgjm/OneDrive/Desktop/GameWebsite/outputs/qa-20261006/QA_Evidence/notes/browser-observations.md; V3 journal: C:/Users/mlgjm/OneDrive/Desktop/GameWebsite/outputs/qa-finalization-v3/QA_FINALIZATION_V3_JOURNAL.json#ADS-029</x:v>
      </x:c>
      <x:c r="K37" s="48"/>
      <x:c r="L37" s="48" t="str">
        <x:v>V2-DEV</x:v>
      </x:c>
      <x:c r="M37" s="48" t="str">
        <x:v>Codex QA</x:v>
      </x:c>
      <x:c r="N37" s="58" t="n">
        <x:v>46301</x:v>
      </x:c>
      <x:c r="O37" s="54" t="str"/>
    </x:row>
    <x:row r="38" ht="76" customHeight="1">
      <x:c r="A38" s="44" t="str">
        <x:v>ADS-030</x:v>
      </x:c>
      <x:c r="B38" s="44" t="str">
        <x:v>LOCAL DEV</x:v>
      </x:c>
      <x:c r="C38" s="44" t="str">
        <x:v>P0 - Critical</x:v>
      </x:c>
      <x:c r="D38" s="44" t="str">
        <x:v>Startup / interstitial not skippable</x:v>
      </x:c>
      <x:c r="E38" s="48" t="str">
        <x:v>Pass</x:v>
      </x:c>
      <x:c r="F38" s="48" t="str">
        <x:v>PREVIOUS RESULT: Fail. Forced mock interstitial displayed an enabled “Close early · no reward” button while the countdown showed more than one second remaining; this violates the no-skip/early-close requirement. Mock bypass scenario only.
NEW RESULT: PARTIAL; RUNNABLE.
REASON: Forced interstitial displayed countdown and 'Continues automatically'; no close/Skip. Historical early-close observation not reproduced. Startup and full key/outside-click matrix pending.
SCOPE: LOCAL DEV 5191
V3: Blocked [ENVIRONMENT_SETUP]. Proven already: Forced interstitial displayed countdown and 'Continues automatically'; no close/Skip. Historical early-close observation not reproduced. Startup and full key/outside-click matrix pending.
Remaining: Startup and interstitial Escape/Space/Enter/outside-click leak matrix; interstitial countdown/no Skip already proven.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Startup and interstitial Escape/Space/Enter/outside-click leak matrix; interstitial countdown/no Skip already proven.
Session: V2-DEV; scope: LOCAL DEV 5191. See QA_FINALIZATION_V3_JOURNAL.json#ADS-030 and HANDOFF_AND_FIX_QUEUE.md.
FINAL AI 4B.2 (2026-10-07): Pass. Both startup and interstitial actual mock5s. Recovered supported key delivery by focusing Advertisement presentation dialog rather than inert body: Escape/Space/Enter and outside-iframe heading click did not skip countdown or expose Skip/Close. PLAY remained disabled during ad; automatic completion restored originalmenu without leaked start/input/reward. Historical QA-001 early-close not reproduced.
Session/evidence: S18; QA_Evidence/observations.json.</x:v>
      </x:c>
      <x:c r="G38" s="44"/>
      <x:c r="H38" s="44" t="str">
        <x:v>During each type try Escape, Space, Enter and outside clicks.</x:v>
      </x:c>
      <x:c r="I38" s="44" t="str">
        <x:v>No player skip/close or input leak; countdown completes and transition resumes.</x:v>
      </x:c>
      <x:c r="J38" s="48" t="str">
        <x:v>C:/Users/mlgjm/OneDrive/Desktop/GameWebsite/outputs/qa-recovery-v2/QA_Evidence/interstitial-showing.txt; C:/Users/mlgjm/OneDrive/Desktop/GameWebsite/outputs/qa-recovery-v2/QA_Evidence/interstitial-showing.png; historical: C:/Users/mlgjm/OneDrive/Desktop/GameWebsite/outputs/qa-20261006/QA_Evidence/notes/browser-observations.md; V3 journal: C:/Users/mlgjm/OneDrive/Desktop/GameWebsite/outputs/qa-finalization-v3/QA_FINALIZATION_V3_JOURNAL.json#ADS-030; FINAL AI: C:/Users/mlgjm/OneDrive/Desktop/GameWebsite/outputs/qa-final-ai/2026-10-07_000739/QA_Evidence/observations.json</x:v>
      </x:c>
      <x:c r="K38" s="48" t="str">
        <x:v>QA-001</x:v>
      </x:c>
      <x:c r="L38" s="48" t="str">
        <x:v>S18</x:v>
      </x:c>
      <x:c r="M38" s="48" t="str">
        <x:v>Codex Final AI QA</x:v>
      </x:c>
      <x:c r="N38" s="58" t="n">
        <x:v>46301.8803125</x:v>
      </x:c>
      <x:c r="O38" s="55" t="str"/>
    </x:row>
    <x:row r="39" ht="76" customHeight="1">
      <x:c r="A39" s="42" t="str">
        <x:v>ADS-031</x:v>
      </x:c>
      <x:c r="B39" s="42" t="str">
        <x:v>LOCAL DEV</x:v>
      </x:c>
      <x:c r="C39" s="42" t="str">
        <x:v>P0 - Critical</x:v>
      </x:c>
      <x:c r="D39" s="42" t="str">
        <x:v>Rewarded skip presentation</x:v>
      </x:c>
      <x:c r="E39" s="48" t="str">
        <x:v>Pass</x:v>
      </x:c>
      <x:c r="F39" s="48" t="str">
        <x:v>PREVIOUS RESULT: Blocked. HUMAN TEST REQUIRED: rewarded skip presentation cannot be reached because the Reactor game Ad Player is disconnected (QA-003).
NEW RESULT: PASS; COMPLETED.
REASON: Generic rewarded presentation player Skip returned CLOSED/player-skip, reward qualified NO, acknowledgments0; menu restored.
SCOPE: LOCAL DEV 5191
V3: Pass; retained V2 evidence, not rerun. 
Session: V2-DEV; scope: LOCAL DEV 5191. See QA_FINALIZATION_V3_JOURNAL.json#ADS-031 and HANDOFF_AND_FIX_QUEUE.md.
Retained prior verified evidence — not rerun in Final AI pass.</x:v>
      </x:c>
      <x:c r="G39" s="42"/>
      <x:c r="H39" s="42" t="str">
        <x:v>Run generic rewarded preview and press Skip — no reward.</x:v>
      </x:c>
      <x:c r="I39" s="42" t="str">
        <x:v>Known SKIPPED/CLOSED terminal, no qualified reward and no game reward acknowledgment.</x:v>
      </x:c>
      <x:c r="J39" s="48" t="str">
        <x:v>C:/Users/mlgjm/OneDrive/Desktop/GameWebsite/outputs/qa-recovery-v2/QA_Evidence/ad-generic-rewarded-skip.txt; historical: C:/Users/mlgjm/OneDrive/Desktop/GameWebsite/outputs/qa-20261006/QA_Evidence/notes/browser-observations.md; V3 journal: C:/Users/mlgjm/OneDrive/Desktop/GameWebsite/outputs/qa-finalization-v3/QA_FINALIZATION_V3_JOURNAL.json#ADS-031</x:v>
      </x:c>
      <x:c r="K39" s="48" t="str">
        <x:v>QA-003</x:v>
      </x:c>
      <x:c r="L39" s="48" t="str">
        <x:v>V2-DEV</x:v>
      </x:c>
      <x:c r="M39" s="48" t="str">
        <x:v>Codex QA</x:v>
      </x:c>
      <x:c r="N39" s="58" t="n">
        <x:v>46301</x:v>
      </x:c>
      <x:c r="O39" s="54" t="str"/>
    </x:row>
    <x:row r="40" ht="76" customHeight="1">
      <x:c r="A40" s="44" t="str">
        <x:v>ADS-032</x:v>
      </x:c>
      <x:c r="B40" s="44" t="str">
        <x:v>LOCAL DEV</x:v>
      </x:c>
      <x:c r="C40" s="44" t="str">
        <x:v>P0 - Critical</x:v>
      </x:c>
      <x:c r="D40" s="44" t="str">
        <x:v>Abort current mock</x:v>
      </x:c>
      <x:c r="E40" s="48" t="str">
        <x:v>Pass</x:v>
      </x:c>
      <x:c r="F40" s="48" t="str">
        <x:v>PREVIOUS RESULT: Blocked. HUMAN TEST REQUIRED: courtesy/shown presentation abort controls are unreachable while the Reactor renderer is disconnected (QA-003).
NEW RESULT: PASS; COMPLETED.
REASON: QA Abort separately during showing and courtesy produced closed:qa-abort, pendingNO and prior paused phase restored. No qualified reward; shown history retained.
SCOPE: LOCAL DEV 5191
V3: Pass; retained V2 evidence, not rerun. 
Session: V2-DEV; scope: LOCAL DEV 5191. See QA_FINALIZATION_V3_JOURNAL.json#ADS-032 and HANDOFF_AND_FIX_QUEUE.md.
Retained prior verified evidence — not rerun in Final AI pass.</x:v>
      </x:c>
      <x:c r="G40" s="44"/>
      <x:c r="H40" s="44" t="str">
        <x:v>During courtesy and showing separately use QA-only Abort.</x:v>
      </x:c>
      <x:c r="I40" s="44" t="str">
        <x:v>Safe terminal/no reward, no persistent input/audio lock; shown safety history retained.</x:v>
      </x:c>
      <x:c r="J40" s="48" t="str">
        <x:v>C:/Users/mlgjm/OneDrive/Desktop/GameWebsite/outputs/qa-recovery-v2/QA_Evidence/ad-qa-abort-showing.txt; C:/Users/mlgjm/OneDrive/Desktop/GameWebsite/outputs/qa-recovery-v2/QA_Evidence/ad-abort-courtesy-before.txt; C:/Users/mlgjm/OneDrive/Desktop/GameWebsite/outputs/qa-recovery-v2/QA_Evidence/ad-abort-courtesy-after.txt; historical: C:/Users/mlgjm/OneDrive/Desktop/GameWebsite/outputs/qa-20261006/QA_Evidence/notes/browser-observations.md; V3 journal: C:/Users/mlgjm/OneDrive/Desktop/GameWebsite/outputs/qa-finalization-v3/QA_FINALIZATION_V3_JOURNAL.json#ADS-032</x:v>
      </x:c>
      <x:c r="K40" s="48" t="str">
        <x:v>QA-003</x:v>
      </x:c>
      <x:c r="L40" s="48" t="str">
        <x:v>V2-DEV</x:v>
      </x:c>
      <x:c r="M40" s="48" t="str">
        <x:v>Codex QA</x:v>
      </x:c>
      <x:c r="N40" s="58" t="n">
        <x:v>46301</x:v>
      </x:c>
      <x:c r="O40" s="55" t="str"/>
    </x:row>
    <x:row r="41" ht="76" customHeight="1">
      <x:c r="A41" s="42" t="str">
        <x:v>ADS-033</x:v>
      </x:c>
      <x:c r="B41" s="42" t="str">
        <x:v>LOCAL DEV</x:v>
      </x:c>
      <x:c r="C41" s="42" t="str">
        <x:v>P1 - Required</x:v>
      </x:c>
      <x:c r="D41" s="42" t="str">
        <x:v>Rewarded cooldown and session cap</x:v>
      </x:c>
      <x:c r="E41" s="48" t="str">
        <x:v>Pass</x:v>
      </x:c>
      <x:c r="F41" s="48" t="str">
        <x:v>PREVIOUS RESULT: Fail. With global rewarded Maximum per session visibly set to 1 after one completed generic rewarded presentation, two subsequent TEST REWARDED GENERIC requests were each accepted, shown and completed (three shown total; blocked=0). Generic tests reported reward acknowledgments=0. Restored default cap 10 and cleared test-session observations.
NEW RESULT: PASS; COMPLETED.
REASON: Committed shared cap1: first generic reward completed, second blocked session-cap. Raised cap10 and cooldown60: immediate request blocked rewarded-cooldown. Generic previews acknowledged0 and did not grant game rewards. Historical cap defect not reproduced.
SCOPE: LOCAL DEV 5191
V3: Pass; retained V2 evidence, not rerun. 
Session: V2-DEV; scope: LOCAL DEV 5191. See QA_FINALIZATION_V3_JOURNAL.json#ADS-033 and HANDOFF_AND_FIX_QUEUE.md.
Retained prior verified evidence — not rerun in Final AI pass.</x:v>
      </x:c>
      <x:c r="G41" s="42"/>
      <x:c r="H41" s="42" t="str">
        <x:v>Set a small test cap/cooldown; repeat generic requests in a fresh session.</x:v>
      </x:c>
      <x:c r="I41" s="42" t="str">
        <x:v>Correct shared limits; no preview inventory/revive awarded; actual game run caps still independent.</x:v>
      </x:c>
      <x:c r="J41" s="48" t="str">
        <x:v>C:/Users/mlgjm/OneDrive/Desktop/GameWebsite/outputs/qa-recovery-v2/QA_Evidence/ad-rewarded-first-cap1.txt; C:/Users/mlgjm/OneDrive/Desktop/GameWebsite/outputs/qa-recovery-v2/QA_Evidence/ad-rewarded-second-cap1.txt; C:/Users/mlgjm/OneDrive/Desktop/GameWebsite/outputs/qa-recovery-v2/QA_Evidence/ad-rewarded-cooldown60.txt; historical: C:/Users/mlgjm/OneDrive/Desktop/GameWebsite/outputs/qa-20261006/QA_Evidence/notes/browser-observations.md; V3 journal: C:/Users/mlgjm/OneDrive/Desktop/GameWebsite/outputs/qa-finalization-v3/QA_FINALIZATION_V3_JOURNAL.json#ADS-033</x:v>
      </x:c>
      <x:c r="K41" s="48" t="str">
        <x:v>QA-004</x:v>
      </x:c>
      <x:c r="L41" s="48" t="str">
        <x:v>V2-DEV</x:v>
      </x:c>
      <x:c r="M41" s="48" t="str">
        <x:v>Codex QA</x:v>
      </x:c>
      <x:c r="N41" s="58" t="n">
        <x:v>46301</x:v>
      </x:c>
      <x:c r="O41" s="54" t="str"/>
    </x:row>
    <x:row r="42" ht="76" customHeight="1">
      <x:c r="A42" s="44" t="str">
        <x:v>ADS-034</x:v>
      </x:c>
      <x:c r="B42" s="44" t="str">
        <x:v>LOCAL DEV</x:v>
      </x:c>
      <x:c r="C42" s="44" t="str">
        <x:v>P0 - Critical</x:v>
      </x:c>
      <x:c r="D42" s="44" t="str">
        <x:v>Rewarded suppresses interstitial</x:v>
      </x:c>
      <x:c r="E42" s="48" t="str">
        <x:v>Pass</x:v>
      </x:c>
      <x:c r="F42" s="48" t="str">
        <x:v>PREVIOUS RESULT: Blocked. HUMAN / ENVIRONMENT FOLLOW-UP REQUIRED: After a completed generic rewarded presentation with reset-cooldown-after-rewarded checked, a Make Eligible PLAY request was blocked for cooldown and shown remained unchanged. An uncontaminated full policy comparison remains partial. Remaining acceptance criteria were not established in this browser session; complete on the specified supported device/profile or with the missing deterministic setup, then update from direct evidence.
NEW RESULT: PASS; COMPLETED.
REASON: With cooldown60/reset-after-reward ON, qualified generic reward completes and immediate safe interstitial blocks cooldown. SwitchOFF plus clear old cooldown: reward completes and immediate safe event shows exactlyone interstitial.
SCOPE: LOCAL DEV 5191
V3: Pass; retained V2 evidence, not rerun. 
Session: V2-DEV; scope: LOCAL DEV 5191. See QA_FINALIZATION_V3_JOURNAL.json#ADS-034 and HANDOFF_AND_FIX_QUEUE.md.
Retained prior verified evidence — not rerun in Final AI pass.</x:v>
      </x:c>
      <x:c r="G42" s="44"/>
      <x:c r="H42" s="44" t="str">
        <x:v>Show rewarded ad, then request safe interstitial immediately.</x:v>
      </x:c>
      <x:c r="I42" s="44" t="str">
        <x:v>Shared suppression/cooldown prevents immediate stacking when enabled; changing switch is truthful.</x:v>
      </x:c>
      <x:c r="J42" s="48" t="str">
        <x:v>C:/Users/mlgjm/OneDrive/Desktop/GameWebsite/outputs/qa-recovery-v2/QA_Evidence/ad-shared-cooldown-inter.txt; C:/Users/mlgjm/OneDrive/Desktop/GameWebsite/outputs/qa-recovery-v2/QA_Evidence/ad-shared-reset-off-inter.txt; historical: C:/Users/mlgjm/OneDrive/Desktop/GameWebsite/outputs/qa-20261006/QA_Evidence/notes/browser-observations.md; V3 journal: C:/Users/mlgjm/OneDrive/Desktop/GameWebsite/outputs/qa-finalization-v3/QA_FINALIZATION_V3_JOURNAL.json#ADS-034</x:v>
      </x:c>
      <x:c r="K42" s="48"/>
      <x:c r="L42" s="48" t="str">
        <x:v>V2-DEV</x:v>
      </x:c>
      <x:c r="M42" s="48" t="str">
        <x:v>Codex QA</x:v>
      </x:c>
      <x:c r="N42" s="58" t="n">
        <x:v>46301</x:v>
      </x:c>
      <x:c r="O42" s="55" t="str"/>
    </x:row>
    <x:row r="43" ht="76" customHeight="1">
      <x:c r="A43" s="42" t="str">
        <x:v>ADS-035</x:v>
      </x:c>
      <x:c r="B43" s="42" t="str">
        <x:v>LOCAL DEV</x:v>
      </x:c>
      <x:c r="C43" s="42" t="str">
        <x:v>P1 - Required</x:v>
      </x:c>
      <x:c r="D43" s="42" t="str">
        <x:v>Status vs last result</x:v>
      </x:c>
      <x:c r="E43" s="48" t="str">
        <x:v>Pass</x:v>
      </x:c>
      <x:c r="F43" s="48" t="str">
        <x:v>PREVIOUS RESULT: Blocked. HUMAN / ENVIRONMENT FOLLOW-UP REQUIRED: After a No fill safe-event result, the panel recorded no_fill and returned to idle; a completed presentation also showed completed status. Every type/outcome state was not sampled in one controlled sequence. Remaining acceptance criteria were not established in this browser session; complete on the specified supported device/profile or with the missing deterministic setup, then update from direct evidence.
NEW RESULT: PASS; COMPLETED.
REASON: Currentstateupdateswaiting→eligible→presentation→waitfornextinterval independentofhistoricalLastresult. AtrepeatreadyEligibleYESlastblocked remainslastrequest; complete/no-fill/error/courtesy/showncapturesprove distinctfields.
SCOPE: LOCAL DEV 5191
V3: Pass; retained V2 evidence, not rerun. 
Session: V2-DEV; scope: LOCAL DEV 5191. See QA_FINALIZATION_V3_JOURNAL.json#ADS-035 and HANDOFF_AND_FIX_QUEUE.md.
Retained prior verified evidence — not rerun in Final AI pass.</x:v>
      </x:c>
      <x:c r="G43" s="42"/>
      <x:c r="H43" s="42" t="str">
        <x:v>Observe each type through wait, preparation, courtesy, show, complete and failure.</x:v>
      </x:c>
      <x:c r="I43" s="42" t="str">
        <x:v>Current state recalculates separately; ELIGIBLE is not READY; last result remains historical.</x:v>
      </x:c>
      <x:c r="J43" s="48" t="str">
        <x:v>C:/Users/mlgjm/OneDrive/Desktop/GameWebsite/outputs/qa-recovery-v2/QA_Evidence/ad-repeat-interval-ready-no-auto.txt; C:/Users/mlgjm/OneDrive/Desktop/GameWebsite/outputs/qa-recovery-v2/QA_Evidence/ad-abort-courtesy-before.txt; C:/Users/mlgjm/OneDrive/Desktop/GameWebsite/outputs/qa-recovery-v2/QA_Evidence/ad-load-error-no-courtesy.txt; historical: C:/Users/mlgjm/OneDrive/Desktop/GameWebsite/outputs/qa-20261006/QA_Evidence/notes/browser-observations.md; V3 journal: C:/Users/mlgjm/OneDrive/Desktop/GameWebsite/outputs/qa-finalization-v3/QA_FINALIZATION_V3_JOURNAL.json#ADS-035</x:v>
      </x:c>
      <x:c r="K43" s="48"/>
      <x:c r="L43" s="48" t="str">
        <x:v>V2-DEV</x:v>
      </x:c>
      <x:c r="M43" s="48" t="str">
        <x:v>Codex QA</x:v>
      </x:c>
      <x:c r="N43" s="58" t="n">
        <x:v>46301</x:v>
      </x:c>
      <x:c r="O43" s="54" t="str"/>
    </x:row>
    <x:row r="44" ht="76" customHeight="1">
      <x:c r="A44" s="44" t="str">
        <x:v>ADS-036</x:v>
      </x:c>
      <x:c r="B44" s="44" t="str">
        <x:v>LOCAL DEV</x:v>
      </x:c>
      <x:c r="C44" s="44" t="str">
        <x:v>P1 - Required</x:v>
      </x:c>
      <x:c r="D44" s="44" t="str">
        <x:v>Per-type and placement counters</x:v>
      </x:c>
      <x:c r="E44" s="48" t="str">
        <x:v>Pass</x:v>
      </x:c>
      <x:c r="F44" s="48" t="str">
        <x:v>PREVIOUS RESULT: Blocked. HUMAN / ENVIRONMENT FOLLOW-UP REQUIRED: Two banner requests produced two shown impressions and completed remained zero; interstitial, startup and rewarded counters were also distinct. Full type/outcome comparison remains incomplete. Remaining acceptance criteria were not established in this browser session; complete on the specified supported device/profile or with the missing deterministic setup, then update from direct evidence.
NEW RESULT: NOT_EXECUTED; RUNNABLE.
REASON: Existing evidence needs a targeted comparison against all expected assertions; no V2 browser execution yet.
SCOPE: Historical evidence only; V2 not executed
V3: Blocked [ENVIRONMENT_SETUP]. Proven already: No complete direct evidence; earlier notes retained above.
Remaining: Required assertions not yet fully verified: Requests/shown/completed/blocked attributed to correct type and placement; no fabricated global traffic. Procedure: Use startup, interstitial and rewarded; compare observations with event log.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Required assertions not yet fully verified: Requests/shown/completed/blocked attributed to correct type and placement; no fabricated global traffic. Procedure: Use startup, interstitial and rewarded; compare observations with event log.
Session: S04; scope: Historical evidence only; V2 not executed. See QA_FINALIZATION_V3_JOURNAL.json#ADS-036 and HANDOFF_AND_FIX_QUEUE.md.
FINAL AI 4B.2 (2026-10-07): Pass. Observed startup requests/shown/completed1/1/1; interstitial10/6/6, blocked4 (disabled1/playtime2/cap1), placement sum DEV3+Start1+Pause2=6. Rewarded3 requests,2 shown,1 completed,1 closed,1 timeout and acknowledgments1. Visible event records correspond to actual requests/shown/completed/cancel/timeout and placements; no fabricated traffic.
Session/evidence: S18; QA_Evidence/observations.json.</x:v>
      </x:c>
      <x:c r="G44" s="44"/>
      <x:c r="H44" s="44" t="str">
        <x:v>Use startup, interstitial and rewarded; compare observations with event log.</x:v>
      </x:c>
      <x:c r="I44" s="44" t="str">
        <x:v>Requests/shown/completed/blocked attributed to correct type and placement; no fabricated global traffic.</x:v>
      </x:c>
      <x:c r="J44" s="48" t="str">
        <x:v>C:/Users/mlgjm/OneDrive/Desktop/GameWebsite/outputs/qa-20261006/QA_Evidence/notes/browser-observations.md; V3 journal: C:/Users/mlgjm/OneDrive/Desktop/GameWebsite/outputs/qa-finalization-v3/QA_FINALIZATION_V3_JOURNAL.json#ADS-036; FINAL AI: C:/Users/mlgjm/OneDrive/Desktop/GameWebsite/outputs/qa-final-ai/2026-10-07_000739/QA_Evidence/observations.json</x:v>
      </x:c>
      <x:c r="K44" s="48"/>
      <x:c r="L44" s="48" t="str">
        <x:v>S18</x:v>
      </x:c>
      <x:c r="M44" s="48" t="str">
        <x:v>Codex Final AI QA</x:v>
      </x:c>
      <x:c r="N44" s="58" t="n">
        <x:v>46301.8803125</x:v>
      </x:c>
      <x:c r="O44" s="55" t="str"/>
    </x:row>
    <x:row r="45" ht="76" customHeight="1">
      <x:c r="A45" s="42" t="str">
        <x:v>ADS-037</x:v>
      </x:c>
      <x:c r="B45" s="42" t="str">
        <x:v>LOCAL DEV</x:v>
      </x:c>
      <x:c r="C45" s="42" t="str">
        <x:v>P0 - Critical</x:v>
      </x:c>
      <x:c r="D45" s="42" t="str">
        <x:v>Reward acknowledgment distinction</x:v>
      </x:c>
      <x:c r="E45" s="48" t="str">
        <x:v>Pass</x:v>
      </x:c>
      <x:c r="F45" s="48" t="str">
        <x:v>PREVIOUS RESULT: Blocked. HUMAN / ENVIRONMENT FOLLOW-UP REQUIRED: Generic rewarded preview had zero game reward acknowledgments, distinguishing the generic host test from game-owned rewards. A successful in-game revive reward was not exercised. Remaining acceptance criteria were not established in this browser session; complete on the specified supported device/profile or with the missing deterministic setup, then update from direct evidence.
NEW RESULT: PASS; COMPLETED.
REASON: Generic reward completed with reward qualification but acknowledgment0; actual Reactor Cool and Orbit revive earlier produced acknowledgment1 only after game applied reward.
SCOPE: LOCAL DEV 5191
V3: Pass; retained V2 evidence, not rerun. 
Session: V2-DEV; scope: LOCAL DEV 5191. See QA_FINALIZATION_V3_JOURNAL.json#ADS-037 and HANDOFF_AND_FIX_QUEUE.md.
Retained prior verified evidence — not rerun in Final AI pass.</x:v>
      </x:c>
      <x:c r="G45" s="42"/>
      <x:c r="H45" s="42" t="str">
        <x:v>Compare generic rewarded preview to actual successful game reward.</x:v>
      </x:c>
      <x:c r="I45" s="42" t="str">
        <x:v>Preview completion may qualify but grants no game reward; acknowledgment increases only after actual game applies reward.</x:v>
      </x:c>
      <x:c r="J45" s="48" t="str">
        <x:v>C:/Users/mlgjm/OneDrive/Desktop/GameWebsite/outputs/qa-recovery-v2/QA_Evidence/ad-rewarded-first-cap1.txt; C:/Users/mlgjm/OneDrive/Desktop/GameWebsite/outputs/qa-recovery-v2/QA_Evidence/reactor-and-ad-connected.txt; C:/Users/mlgjm/OneDrive/Desktop/GameWebsite/outputs/qa-recovery-v2/QA_Evidence/orbit-revive-completed-host.txt; historical: C:/Users/mlgjm/OneDrive/Desktop/GameWebsite/outputs/qa-20261006/QA_Evidence/notes/browser-observations.md; V3 journal: C:/Users/mlgjm/OneDrive/Desktop/GameWebsite/outputs/qa-finalization-v3/QA_FINALIZATION_V3_JOURNAL.json#ADS-037</x:v>
      </x:c>
      <x:c r="K45" s="48"/>
      <x:c r="L45" s="48" t="str">
        <x:v>V2-DEV</x:v>
      </x:c>
      <x:c r="M45" s="48" t="str">
        <x:v>Codex QA</x:v>
      </x:c>
      <x:c r="N45" s="58" t="n">
        <x:v>46301</x:v>
      </x:c>
      <x:c r="O45" s="54" t="str"/>
    </x:row>
    <x:row r="46" ht="76" customHeight="1">
      <x:c r="A46" s="44" t="str">
        <x:v>ADS-038</x:v>
      </x:c>
      <x:c r="B46" s="44" t="str">
        <x:v>LOCAL DEV</x:v>
      </x:c>
      <x:c r="C46" s="44" t="str">
        <x:v>P0 - Critical</x:v>
      </x:c>
      <x:c r="D46" s="44" t="str">
        <x:v>Clear observations only</x:v>
      </x:c>
      <x:c r="E46" s="48" t="str">
        <x:v>Pass</x:v>
      </x:c>
      <x:c r="F46" s="48" t="str">
        <x:v>PREVIOUS RESULT: Blocked. HUMAN / ENVIRONMENT FOLLOW-UP REQUIRED: Reload reset observations, but CLEAR SESSION STATS was not tested after consuming startup/reward/cap safety history. Remaining acceptance criteria were not established in this browser session; complete on the specified supported device/profile or with the missing deterministic setup, then update from direct evidence.
NEW RESULT: PASS; COMPLETED.
REASON: Clear Session Stats cleared displayed counters while retained startup/session safety history still blocked repeats in prior boundary journeys. After a real qualified Orbit revive, clearing stats and resetting only local used flag still yielded placement-run-cap on the same run with no accepted/shown reward; real host safety receipts/history survive.
SCOPE: LOCAL DEV 5191
V3: Pass; retained V2 evidence, not rerun. 
Session: V2-DEV; scope: LOCAL DEV 5191. See QA_FINALIZATION_V3_JOURNAL.json#ADS-038 and HANDOFF_AND_FIX_QUEUE.md.
Retained prior verified evidence — not rerun in Final AI pass.</x:v>
      </x:c>
      <x:c r="G46" s="44"/>
      <x:c r="H46" s="44" t="str">
        <x:v>After consuming startup/revive/session cap, click CLEAR SESSION STATS.</x:v>
      </x:c>
      <x:c r="I46" s="44" t="str">
        <x:v>Displayed observations clear; cooldowns, shown-cap history and reward receipts remain enforced.</x:v>
      </x:c>
      <x:c r="J46" s="48" t="str">
        <x:v>C:/Users/mlgjm/OneDrive/Desktop/GameWebsite/outputs/qa-recovery-v2/QA_Evidence/ad-cap-after-clear-stats.txt; C:/Users/mlgjm/OneDrive/Desktop/GameWebsite/outputs/qa-recovery-v2/QA_Evidence/ad-startup-after-clear-stats.txt; C:/Users/mlgjm/OneDrive/Desktop/GameWebsite/outputs/qa-recovery-v2/QA_Evidence/ad-reward-cap-after-clear-stats.txt; C:/Users/mlgjm/OneDrive/Desktop/GameWebsite/outputs/qa-recovery-v2/QA_Evidence/orbit-real-reward-clear-stats.txt; C:/Users/mlgjm/OneDrive/Desktop/GameWebsite/outputs/qa-recovery-v2/QA_Evidence/orbit-host-run-cap-after-local-reset.txt; historical: C:/Users/mlgjm/OneDrive/Desktop/GameWebsite/outputs/qa-20261006/QA_Evidence/notes/browser-observations.md; V3 journal: C:/Users/mlgjm/OneDrive/Desktop/GameWebsite/outputs/qa-finalization-v3/QA_FINALIZATION_V3_JOURNAL.json#ADS-038</x:v>
      </x:c>
      <x:c r="K46" s="48"/>
      <x:c r="L46" s="48" t="str">
        <x:v>V2-DEV</x:v>
      </x:c>
      <x:c r="M46" s="48" t="str">
        <x:v>Codex QA</x:v>
      </x:c>
      <x:c r="N46" s="58" t="n">
        <x:v>46301</x:v>
      </x:c>
      <x:c r="O46" s="55" t="str"/>
    </x:row>
    <x:row r="47" ht="76" customHeight="1">
      <x:c r="A47" s="42" t="str">
        <x:v>ADS-039</x:v>
      </x:c>
      <x:c r="B47" s="42" t="str">
        <x:v>LOCAL DEV</x:v>
      </x:c>
      <x:c r="C47" s="42" t="str">
        <x:v>P1 - Required</x:v>
      </x:c>
      <x:c r="D47" s="42" t="str">
        <x:v>Website banner placement</x:v>
      </x:c>
      <x:c r="E47" s="48" t="str">
        <x:v>Pass</x:v>
      </x:c>
      <x:c r="F47" s="48" t="str">
        <x:v>PREVIOUS RESULT: Blocked. HUMAN / ENVIRONMENT FOLLOW-UP REQUIRED: On the Reactor game page, SHOW MOCK BANNER displayed the website-slot banner (281×100); HIDE removed it. Orbit page not exercised. Remaining acceptance criteria were not established in this browser session; complete on the specified supported device/profile or with the missing deterministic setup, then update from direct evidence.
NEW RESULT: PARTIAL; RUNNABLE.
REASON: Bothgamepages banner appears in websiteASIDEoutsideiframe,belowactionbar,970×100; Orbit shown/hidden1215×458.8samegeometry, Reactorportrait344×458.8. Homeeligible-hosthidecheck remains targeted, so partial.
SCOPE: LOCAL DEV 5191
V3: Blocked [ENVIRONMENT_SETUP]. Proven already: Bothgamepages banner appears in websiteASIDEoutsideiframe,belowactionbar,970×100; Orbit shown/hidden1215×458.8samegeometry, Reactorportrait344×458.8. Homeeligible-hosthidecheck remains targeted, so partial.
Remaining: Verify banner hidden on Home without eligible host; both game-page outside-iframe geometry already proven.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Verify banner hidden on Home without eligible host; both game-page outside-iframe geometry already proven.
Session: V2-DEV; scope: LOCAL DEV 5191. See QA_FINALIZATION_V3_JOURNAL.json#ADS-039 and HANDOFF_AND_FIX_QUEUE.md.
4B.1 retest record (2026-10-06): Showed/hid host mock banner on Orbit and Reactor. Readout reported Visible YES, shown count 1 then 2, 970x100, website slot outside iframe; after hide reported Visible NO and 0x0. Screenshots show banner below player action row.
Retained prior verified evidence — not rerun in Final AI pass. Approved prerequisite/setup was reused this run; the complete case was not rerun.</x:v>
      </x:c>
      <x:c r="G47" s="42"/>
      <x:c r="H47" s="42" t="str">
        <x:v>Show/hide primary mock banner on each game page.</x:v>
      </x:c>
      <x:c r="I47" s="42" t="str">
        <x:v>Banner below player action bar outside iframe; no obstruction or game resize; hidden without eligible host.</x:v>
      </x:c>
      <x:c r="J47" s="48" t="str">
        <x:v>C:/Users/mlgjm/OneDrive/Desktop/GameWebsite/outputs/qa-recovery-v2/QA_Evidence/banner-game-frame-geometry.json; C:/Users/mlgjm/OneDrive/Desktop/GameWebsite/outputs/qa-recovery-v2/QA_Evidence/orbit-banner-shown.txt; historical: C:/Users/mlgjm/OneDrive/Desktop/GameWebsite/outputs/qa-20261006/QA_Evidence/notes/browser-observations.md; V3 journal: C:/Users/mlgjm/OneDrive/Desktop/GameWebsite/outputs/qa-finalization-v3/QA_FINALIZATION_V3_JOURNAL.json#ADS-039; website-banner-reactor-visible.png; browser-observations.json#ADS-039</x:v>
      </x:c>
      <x:c r="K47" s="48"/>
      <x:c r="L47" s="48" t="str">
        <x:v>S14</x:v>
      </x:c>
      <x:c r="M47" s="48" t="str">
        <x:v>Codex QA</x:v>
      </x:c>
      <x:c r="N47" s="58" t="n">
        <x:v>46301</x:v>
      </x:c>
      <x:c r="O47" s="54" t="str"/>
    </x:row>
    <x:row r="48" ht="76" customHeight="1">
      <x:c r="A48" s="44" t="str">
        <x:v>ADS-040</x:v>
      </x:c>
      <x:c r="B48" s="44" t="str">
        <x:v>LOCAL DEV</x:v>
      </x:c>
      <x:c r="C48" s="44" t="str">
        <x:v>P1 - Required</x:v>
      </x:c>
      <x:c r="D48" s="44" t="str">
        <x:v>Banner metrics are not video stats</x:v>
      </x:c>
      <x:c r="E48" s="48" t="str">
        <x:v>Pass</x:v>
      </x:c>
      <x:c r="F48" s="48" t="str">
        <x:v>PREVIOUS RESULT: Pass. Two SHOW/HIDE cycles yielded banner requests=2, shown=2, impressions=2, completed=0; banner metrics were separate from fullscreen-completion stats.
NEW RESULT: PASS; COMPLETED.
REASON: Verified actual hideVisibleNO thenreshowVisibleYES; observation count1→2,970×100dimensions; banner countersdisplayonly, noqualifiedreward/video completion/revenue.
SCOPE: LOCAL DEV 5191
V3: Pass; retained V2 evidence, not rerun. 
Session: V2-DEV; scope: LOCAL DEV 5191. See QA_FINALIZATION_V3_JOURNAL.json#ADS-040 and HANDOFF_AND_FIX_QUEUE.md.
Retained prior verified evidence — not rerun in Final AI pass.</x:v>
      </x:c>
      <x:c r="G48" s="44"/>
      <x:c r="H48" s="44" t="str">
        <x:v>Show banner twice through hide/show; inspect statuses.</x:v>
      </x:c>
      <x:c r="I48" s="44" t="str">
        <x:v>Observed display count/dimensions only; no fake video completions, certified impressions or revenue.</x:v>
      </x:c>
      <x:c r="J48" s="48" t="str">
        <x:v>C:/Users/mlgjm/OneDrive/Desktop/GameWebsite/outputs/qa-recovery-v2/QA_Evidence/banner-verified-hide-show.txt; historical: C:/Users/mlgjm/OneDrive/Desktop/GameWebsite/outputs/qa-20261006/QA_Evidence/notes/browser-observations.md; V3 journal: C:/Users/mlgjm/OneDrive/Desktop/GameWebsite/outputs/qa-finalization-v3/QA_FINALIZATION_V3_JOURNAL.json#ADS-040</x:v>
      </x:c>
      <x:c r="K48" s="48"/>
      <x:c r="L48" s="48" t="str">
        <x:v>V2-DEV</x:v>
      </x:c>
      <x:c r="M48" s="48" t="str">
        <x:v>Codex QA</x:v>
      </x:c>
      <x:c r="N48" s="58" t="n">
        <x:v>46301</x:v>
      </x:c>
      <x:c r="O48" s="55" t="str"/>
    </x:row>
    <x:row r="49" ht="76" customHeight="1">
      <x:c r="A49" s="42" t="str">
        <x:v>ADS-041</x:v>
      </x:c>
      <x:c r="B49" s="42" t="str">
        <x:v>LOCAL DEV</x:v>
      </x:c>
      <x:c r="C49" s="42" t="str">
        <x:v>P1 - Required</x:v>
      </x:c>
      <x:c r="D49" s="42" t="str">
        <x:v>Help across all sections</x:v>
      </x:c>
      <x:c r="E49" s="48" t="str">
        <x:v>Pass</x:v>
      </x:c>
      <x:c r="F49" s="48" t="str">
        <x:v>PREVIOUS RESULT: Blocked. HUMAN TEST REQUIRED: HUMAN TEST REQUIRED: complete the help tour for all sections and record each exact control/readout label.
NEW RESULT: NOT_EXECUTED; RUNNABLE.
REASON: Existing evidence needs a targeted comparison against all expected assertions; no V2 browser execution yet.
SCOPE: Historical evidence only; V2 not executed
V3: Blocked [ENVIRONMENT_SETUP]. Proven already: No complete direct evidence; earlier notes retained above.
Remaining: Required assertions not yet fully verified: Specific useful explanation for each exposed option/action/grouped status, including defaults, units and persistence. Procedure: Hover/focus/tap ? for Overview, Placements, Startup, Interstitial, Rewarded, Banner, Courtesy, Simulation and Events.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Required assertions not yet fully verified: Specific useful explanation for each exposed option/action/grouped status, including defaults, units and persistence. Procedure: Hover/focus/tap ? for Overview, Placements, Startup, Interstitial, Rewarded, Banner, Courtesy, Simulation and Events.
Session: S02; scope: Historical evidence only; V2 not executed. See QA_FINALIZATION_V3_JOURNAL.json#ADS-041 and HANDOFF_AND_FIX_QUEUE.md.
FINAL AI 4B.2 (2026-10-07): BLOCKED — HUMAN TESTING REQUIRED [TOOL_LIMITATION].
Why AI did not finish: The remaining native hover, touch, hidden-tab, key delivery, motion emulation or attributed diagnostic capability is not exposed by this API.
AI already proved: Specific host help proved in ad cap/edit/Escape checks and Orbit Ads Integration helps. Broad all-pin sweep timed out and yielded no complete persisted matrix; no all-section pass claimed.
Remaining: Human: hover/focus/tap Help pins in Overview, Placements, Startup, Interstitial, Rewarded, Banner, Courtesy, Simulation and Events. Ensure useful defaults/units/persistence and no ad triggered.
Human action (HQA-15): 1. Use LOCAL DEV; Native Chrome/Edge with fresh launcher QA namespace, DEV panels and timestamped video. 2. Record any missing/misleading label by exact control name. 3. Execute only the remaining assertion: Human: hover/focus/tap Help pins in Overview, Placements, Startup, Interstitial, Rewarded, Banner, Courtesy, Simulation and Events. Ensure useful defaults/units/persistence and no ad triggered.
Expected: Specific useful explanation for each exposed option/action/grouped status, including defaults, units and persistence.
Capture: Pass/Fail per ID, screenshot or timestamped video/state snapshot, device/OS/browser versions, viewport/zoom/DPR and a note; compare prior evidence instead of repeating proven subassertions.
Session/evidence: S18; QA_Evidence/observations.json. Full grouped instructions: HUMAN_QA_FINAL.md#hqa-15.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49" s="42" t="str">
        <x:v>Record any missing/misleading label by exact control name.</x:v>
      </x:c>
      <x:c r="H49" s="42" t="str">
        <x:v>Hover/focus/tap ? for Overview, Placements, Startup, Interstitial, Rewarded, Banner, Courtesy, Simulation and Events.</x:v>
      </x:c>
      <x:c r="I49" s="42" t="str">
        <x:v>Specific useful explanation for each exposed option/action/grouped status, including defaults, units and persistence.</x:v>
      </x:c>
      <x:c r="J49" s="48" t="str">
        <x:v>C:/Users/mlgjm/OneDrive/Desktop/GameWebsite/outputs/qa-20261006/QA_Evidence/notes/browser-observations.md; V3 journal: C:/Users/mlgjm/OneDrive/Desktop/GameWebsite/outputs/qa-finalization-v3/QA_FINALIZATION_V3_JOURNAL.json#ADS-041; FINAL AI: C:/Users/mlgjm/OneDrive/Desktop/GameWebsite/outputs/qa-final-ai/2026-10-07_000739/QA_Evidence/observations.json
Human QA completion statement, 2026-10-07; prior AI evidence retained.</x:v>
      </x:c>
      <x:c r="K49" s="48"/>
      <x:c r="L49" s="48" t="str">
        <x:v>S20</x:v>
      </x:c>
      <x:c r="M49" s="48" t="str">
        <x:v>Hristo</x:v>
      </x:c>
      <x:c r="N49" s="58" t="n">
        <x:v>46302</x:v>
      </x:c>
      <x:c r="O49" s="54" t="str"/>
    </x:row>
    <x:row r="50" ht="76" customHeight="1">
      <x:c r="A50" s="44" t="str">
        <x:v>ADS-042</x:v>
      </x:c>
      <x:c r="B50" s="44" t="str">
        <x:v>LOCAL DEV</x:v>
      </x:c>
      <x:c r="C50" s="44" t="str">
        <x:v>P1 - Required</x:v>
      </x:c>
      <x:c r="D50" s="44" t="str">
        <x:v>Help Escape precedence</x:v>
      </x:c>
      <x:c r="E50" s="48" t="str">
        <x:v>Pass</x:v>
      </x:c>
      <x:c r="F50" s="48" t="str">
        <x:v>PREVIOUS RESULT: Blocked. HUMAN TEST REQUIRED: HUMAN TEST REQUIRED: test Escape once for help dismissal and again for panel close across supported keyboard/browser input.
NEW RESULT: NOT_EXECUTED; RUNNABLE.
REASON: Existing evidence needs a targeted comparison against all expected assertions; no V2 browser execution yet.
SCOPE: Historical evidence only; V2 not executed
V3: Blocked [ENVIRONMENT_SETUP]. Proven already: No complete direct evidence; earlier notes retained above.
Remaining: Required assertions not yet fully verified: First Escape closes help only; does not skip ad, activate a value, pause game or close parent panel unexpectedly. Procedure: Open help, press Escape, then Escape again.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Required assertions not yet fully verified: First Escape closes help only; does not skip ad, activate a value, pause game or close parent panel unexpectedly. Procedure: Open help, press Escape, then Escape again.
Session: S02; scope: Historical evidence only; V2 not executed. See QA_FINALIZATION_V3_JOURNAL.json#ADS-042 and HANDOFF_AND_FIX_QUEUE.md.
FINAL AI 4B.2 (2026-10-07): Pass. Opened Simulated game state help; first Escape removed only help expanded state and retained parent/game menu. Second Escape closed inspector. No ad request/value edit/pause triggered.
Session/evidence: S18; QA_Evidence/observations.json.</x:v>
      </x:c>
      <x:c r="G50" s="44"/>
      <x:c r="H50" s="44" t="str">
        <x:v>Open help, press Escape, then Escape again.</x:v>
      </x:c>
      <x:c r="I50" s="44" t="str">
        <x:v>First Escape closes help only; does not skip ad, activate a value, pause game or close parent panel unexpectedly.</x:v>
      </x:c>
      <x:c r="J50" s="48" t="str">
        <x:v>C:/Users/mlgjm/OneDrive/Desktop/GameWebsite/outputs/qa-20261006/QA_Evidence/notes/browser-observations.md; V3 journal: C:/Users/mlgjm/OneDrive/Desktop/GameWebsite/outputs/qa-finalization-v3/QA_FINALIZATION_V3_JOURNAL.json#ADS-042; FINAL AI: C:/Users/mlgjm/OneDrive/Desktop/GameWebsite/outputs/qa-final-ai/2026-10-07_000739/QA_Evidence/observations.json</x:v>
      </x:c>
      <x:c r="K50" s="48"/>
      <x:c r="L50" s="48" t="str">
        <x:v>S18</x:v>
      </x:c>
      <x:c r="M50" s="48" t="str">
        <x:v>Codex Final AI QA</x:v>
      </x:c>
      <x:c r="N50" s="58" t="n">
        <x:v>46301.8803125</x:v>
      </x:c>
      <x:c r="O50" s="55" t="str"/>
    </x:row>
    <x:row r="51" ht="76" customHeight="1">
      <x:c r="A51" s="42" t="str">
        <x:v>ADS-043</x:v>
      </x:c>
      <x:c r="B51" s="42" t="str">
        <x:v>LOCAL DEV</x:v>
      </x:c>
      <x:c r="C51" s="42" t="str">
        <x:v>P1 - Required</x:v>
      </x:c>
      <x:c r="D51" s="42" t="str">
        <x:v>Disabled-control help and edits</x:v>
      </x:c>
      <x:c r="E51" s="48" t="str">
        <x:v>Pass</x:v>
      </x:c>
      <x:c r="F51" s="48" t="str">
        <x:v>PREVIOUS RESULT: Blocked. HUMAN TEST REQUIRED: HUMAN TEST REQUIRED: inspect help on disabled/busy controls and numeric edits while diagnostics refresh.
NEW RESULT: NOT_EXECUTED; RUNNABLE.
REASON: Existing evidence needs a targeted comparison against all expected assertions; no V2 browser execution yet.
SCOPE: Historical evidence only; V2 not executed
V3: Blocked [ENVIRONMENT_SETUP]. Proven already: No complete direct evidence; earlier notes retained above.
Remaining: Required assertions not yet fully verified: Disabled controls still explained; updates do not steal focus, overwrite typing or close help. Procedure: While controls disabled/busy, open their ? help; type a number while stats update.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Required assertions not yet fully verified: Disabled controls still explained; updates do not steal focus, overwrite typing or close help. Procedure: While controls disabled/busy, open their ? help; type a number while stats update.
Session: S02; scope: Historical evidence only; V2 not executed. See QA_FINALIZATION_V3_JOURNAL.json#ADS-043 and HANDOFF_AND_FIX_QUEUE.md.
FINAL AI 4B.2 (2026-10-07): Pass. Disabled Maximum-per-session field retained readable specific Help through1.1s live stats refresh. Actual keyboard entry First eligible after active seconds240 stayed240 and focused through1.2s refresh; no overwrite/lost focus. Restored180.
Session/evidence: S18; QA_Evidence/observations.json.</x:v>
      </x:c>
      <x:c r="G51" s="42"/>
      <x:c r="H51" s="42" t="str">
        <x:v>While controls disabled/busy, open their ? help; type a number while stats update.</x:v>
      </x:c>
      <x:c r="I51" s="42" t="str">
        <x:v>Disabled controls still explained; updates do not steal focus, overwrite typing or close help.</x:v>
      </x:c>
      <x:c r="J51" s="48" t="str">
        <x:v>C:/Users/mlgjm/OneDrive/Desktop/GameWebsite/outputs/qa-20261006/QA_Evidence/notes/browser-observations.md; V3 journal: C:/Users/mlgjm/OneDrive/Desktop/GameWebsite/outputs/qa-finalization-v3/QA_FINALIZATION_V3_JOURNAL.json#ADS-043; FINAL AI: C:/Users/mlgjm/OneDrive/Desktop/GameWebsite/outputs/qa-final-ai/2026-10-07_000739/QA_Evidence/observations.json</x:v>
      </x:c>
      <x:c r="K51" s="48"/>
      <x:c r="L51" s="48" t="str">
        <x:v>S18</x:v>
      </x:c>
      <x:c r="M51" s="48" t="str">
        <x:v>Codex Final AI QA</x:v>
      </x:c>
      <x:c r="N51" s="58" t="n">
        <x:v>46301.8803125</x:v>
      </x:c>
      <x:c r="O51" s="54" t="str"/>
    </x:row>
    <x:row r="52" ht="76" customHeight="1">
      <x:c r="A52" s="44" t="str">
        <x:v>ADS-044</x:v>
      </x:c>
      <x:c r="B52" s="44" t="str">
        <x:v>LOCAL DEV</x:v>
      </x:c>
      <x:c r="C52" s="44" t="str">
        <x:v>P1 - Required</x:v>
      </x:c>
      <x:c r="D52" s="44" t="str">
        <x:v>Touch help / zoom / narrow bounds</x:v>
      </x:c>
      <x:c r="E52" s="48" t="str">
        <x:v>Pass</x:v>
      </x:c>
      <x:c r="F52" s="48" t="str">
        <x:v>PREVIOUS RESULT: Blocked. HUMAN TEST REQUIRED: HUMAN TEST REQUIRED: use touch input, 360px viewport and browser zoom to verify help placement and panel bounds.
NEW RESULT: NOT_EXECUTED; RUNNABLE.
REASON: Existing evidence needs a targeted comparison against all expected assertions; no V2 browser execution yet.
SCOPE: Historical evidence only; V2 not executed
V3: Blocked [HARDWARE_REQUIRED]. Proven already: No complete direct evidence; earlier notes retained above.
Remaining: Required assertions not yet fully verified: Help is readable, dismissible and within parent viewport; tapping help never fires an ad. Procedure: Use touch ? controls and browser zoom at 360px; scroll inspector.
Specific reason: Requires actual touch input/device rotation; desktop pointer/emulation does not establish this assertion.
Attempted this run: no. Owner: Human tester. Next step: Human tester executes in the case environment: Required assertions not yet fully verified: Help is readable, dismissible and within parent viewport; tapping help never fires an ad. Procedure: Use touch ? controls and browser zoom at 360px; scroll inspector.
Session: S02; scope: Historical evidence only; V2 not executed. See QA_FINALIZATION_V3_JOURNAL.json#ADS-044 and HANDOFF_AND_FIX_QUEUE.md.
FINAL AI 4B.2 (2026-10-07): BLOCKED — HUMAN TESTING REQUIRED [HUMAN_BROWSER].
Why AI did not finish: The supported browser API cannot certify native fullscreen/pointer mapping, browser zoom or the required second browser.
AI already proved: No complete independent evidence for the remaining assertions; historical observations remain in the workbook.
Remaining: Help is readable, dismissible and within parent viewport; tapping help never fires an ad. Procedure: Use touch ? controls and browser zoom at 360px; scroll inspector.
Human action (HQA-07): 1. Use LOCAL DEV; Native Chrome or Edge supporting fullscreen, browser zoom and positioned pointer; physical rotation where listed. 2. Create a disposable QA/profile when changing saved state; launch qa:dev or qa:preview for the specified local environment and use the actual printed URL. 3. Execute only the remaining assertion: Help is readable, dismissible and within parent viewport; tapping help never fires an ad. Procedure: Use touch ? controls and browser zoom at 360px; scroll inspector.
Expected: Help is readable, dismissible and within parent viewport; tapping help never fires an ad.
Capture: Pass/Fail per ID, screenshot or timestamped video/state snapshot, device/OS/browser versions, viewport/zoom/DPR and a note; compare prior evidence instead of repeating proven subassertions.
Session/evidence: S18; Historical evidence retained; no fresh case execution claimed. Full grouped instructions: HUMAN_QA_FINAL.md#hqa-07.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52" s="44"/>
      <x:c r="H52" s="44" t="str">
        <x:v>Use touch ? controls and browser zoom at 360px; scroll inspector.</x:v>
      </x:c>
      <x:c r="I52" s="44" t="str">
        <x:v>Help is readable, dismissible and within parent viewport; tapping help never fires an ad.</x:v>
      </x:c>
      <x:c r="J52" s="48" t="str">
        <x:v>C:/Users/mlgjm/OneDrive/Desktop/GameWebsite/outputs/qa-20261006/QA_Evidence/notes/browser-observations.md; V3 journal: C:/Users/mlgjm/OneDrive/Desktop/GameWebsite/outputs/qa-finalization-v3/QA_FINALIZATION_V3_JOURNAL.json#ADS-044
Human QA completion statement, 2026-10-07; prior AI evidence retained.</x:v>
      </x:c>
      <x:c r="K52" s="48"/>
      <x:c r="L52" s="48" t="str">
        <x:v>S21</x:v>
      </x:c>
      <x:c r="M52" s="48" t="str">
        <x:v>Hristo</x:v>
      </x:c>
      <x:c r="N52" s="58" t="n">
        <x:v>46302</x:v>
      </x:c>
      <x:c r="O52" s="55" t="str"/>
    </x:row>
    <x:row r="53" ht="76" customHeight="1">
      <x:c r="A53" s="42" t="str">
        <x:v>ADS-045</x:v>
      </x:c>
      <x:c r="B53" s="42" t="str">
        <x:v>LOCAL DEV</x:v>
      </x:c>
      <x:c r="C53" s="42" t="str">
        <x:v>P0 - Critical</x:v>
      </x:c>
      <x:c r="D53" s="42" t="str">
        <x:v>Navigate away mid-presentation</x:v>
      </x:c>
      <x:c r="E53" s="48" t="str">
        <x:v>Pass</x:v>
      </x:c>
      <x:c r="F53" s="48" t="str">
        <x:v>PREVIOUS RESULT: Blocked. HUMAN TEST REQUIRED: HUMAN TEST REQUIRED: navigate/reload during an active presentation on a device with a connected renderer.
NEW RESULT: PASS; COMPLETED.
REASON: Navigated Home during15s forced mock; request became closed/inactive, rendererdisconnected/NONE. Navigated Reactor and Initialize reached normal playing controls with no stale modal, reward or lock.
SCOPE: LOCAL DEV 5191
V3: Pass; retained V2 evidence, not rerun. 
Session: V2-DEV; scope: LOCAL DEV 5191. See QA_FINALIZATION_V3_JOURNAL.json#ADS-045 and HANDOFF_AND_FIX_QUEUE.md.
Retained prior verified evidence — not rerun in Final AI pass.</x:v>
      </x:c>
      <x:c r="G53" s="42"/>
      <x:c r="H53" s="42" t="str">
        <x:v>Start mock then navigate Home/other game or reload iframe.</x:v>
      </x:c>
      <x:c r="I53" s="42" t="str">
        <x:v>Presentation disposed, pending results invalidated; new game functional with no stale reward or lock.</x:v>
      </x:c>
      <x:c r="J53" s="48" t="str">
        <x:v>C:/Users/mlgjm/OneDrive/Desktop/GameWebsite/outputs/qa-recovery-v2/QA_Evidence/ad-navigation-disposed.txt; C:/Users/mlgjm/OneDrive/Desktop/GameWebsite/outputs/qa-recovery-v2/QA_Evidence/ad-navigation-new-game.txt; historical: C:/Users/mlgjm/OneDrive/Desktop/GameWebsite/outputs/qa-20261006/QA_Evidence/notes/browser-observations.md; V3 journal: C:/Users/mlgjm/OneDrive/Desktop/GameWebsite/outputs/qa-finalization-v3/QA_FINALIZATION_V3_JOURNAL.json#ADS-045</x:v>
      </x:c>
      <x:c r="K53" s="48"/>
      <x:c r="L53" s="48" t="str">
        <x:v>V2-DEV</x:v>
      </x:c>
      <x:c r="M53" s="48" t="str">
        <x:v>Codex QA</x:v>
      </x:c>
      <x:c r="N53" s="58" t="n">
        <x:v>46301</x:v>
      </x:c>
      <x:c r="O53" s="54" t="str"/>
    </x:row>
    <x:row r="54" ht="76" customHeight="1">
      <x:c r="A54" s="44" t="str">
        <x:v>ADS-046</x:v>
      </x:c>
      <x:c r="B54" s="44" t="str">
        <x:v>LOCAL DEV</x:v>
      </x:c>
      <x:c r="C54" s="44" t="str">
        <x:v>P1 - Required</x:v>
      </x:c>
      <x:c r="D54" s="44" t="str">
        <x:v>Nonpersistent observations</x:v>
      </x:c>
      <x:c r="E54" s="48" t="str">
        <x:v>Pass</x:v>
      </x:c>
      <x:c r="F54" s="48" t="str">
        <x:v>PREVIOUS RESULT: Pass. After banner and blocked-ad observations, reloading the same local origin reset session counters/events to zero and returned placement defaults; global master remained ON.
NEW RESULT: PASS; COMPLETED.
REASON: Reload afterseveralevents resetsstartup/inter/rewardobservationsandpage-sessionhistory0; globalfirst/interval3andCooldown7remain, profilebest1270retained. Metrics explicitlylocal sessionnotanalytics.
SCOPE: LOCAL DEV 5191
V3: Pass; retained V2 evidence, not rerun. 
Session: V2-DEV; scope: LOCAL DEV 5191. See QA_FINALIZATION_V3_JOURNAL.json#ADS-046 and HANDOFF_AND_FIX_QUEUE.md.
Retained prior verified evidence — not rerun in Final AI pass.</x:v>
      </x:c>
      <x:c r="G54" s="44"/>
      <x:c r="H54" s="44" t="str">
        <x:v>Reload same local origin after several events.</x:v>
      </x:c>
      <x:c r="I54" s="44" t="str">
        <x:v>Global DEV config remains; page-session counters/history start fresh as documented; not global analytics.</x:v>
      </x:c>
      <x:c r="J54" s="48" t="str">
        <x:v>C:/Users/mlgjm/OneDrive/Desktop/GameWebsite/outputs/qa-recovery-v2/QA_Evidence/ad-global-placement-after-reload.txt; historical: C:/Users/mlgjm/OneDrive/Desktop/GameWebsite/outputs/qa-20261006/QA_Evidence/notes/browser-observations.md; V3 journal: C:/Users/mlgjm/OneDrive/Desktop/GameWebsite/outputs/qa-finalization-v3/QA_FINALIZATION_V3_JOURNAL.json#ADS-046</x:v>
      </x:c>
      <x:c r="K54" s="48"/>
      <x:c r="L54" s="48" t="str">
        <x:v>V2-DEV</x:v>
      </x:c>
      <x:c r="M54" s="48" t="str">
        <x:v>Codex QA</x:v>
      </x:c>
      <x:c r="N54" s="58" t="n">
        <x:v>46301</x:v>
      </x:c>
      <x:c r="O54" s="55" t="str"/>
    </x:row>
  </x:sheetData>
  <x:mergeCells>
    <x:mergeCell ref="A1:O2"/>
    <x:mergeCell ref="A3:O3"/>
    <x:mergeCell ref="A4:O4"/>
  </x:mergeCells>
  <x:conditionalFormatting sqref="E9:E54">
    <x:cfRule type="expression" dxfId="24" priority="1">
      <x:formula>$E9="Not run"</x:formula>
    </x:cfRule>
    <x:cfRule type="expression" dxfId="25" priority="2">
      <x:formula>$E9="In progress"</x:formula>
    </x:cfRule>
    <x:cfRule type="expression" dxfId="26" priority="3">
      <x:formula>$E9="Pass"</x:formula>
    </x:cfRule>
    <x:cfRule type="expression" dxfId="27" priority="4">
      <x:formula>$E9="Fail"</x:formula>
    </x:cfRule>
    <x:cfRule type="expression" dxfId="28" priority="5">
      <x:formula>$E9="Blocked"</x:formula>
    </x:cfRule>
    <x:cfRule type="expression" dxfId="29" priority="6">
      <x:formula>$E9="Retest due"</x:formula>
    </x:cfRule>
    <x:cfRule type="expression" dxfId="30" priority="7">
      <x:formula>$E9="N/A"</x:formula>
    </x:cfRule>
  </x:conditionalFormatting>
  <x:conditionalFormatting sqref="C9:C54">
    <x:cfRule type="expression" dxfId="31" priority="8">
      <x:formula>$C9="P0 - Critical"</x:formula>
    </x:cfRule>
  </x:conditionalFormatting>
  <x:dataValidations count="3">
    <x:dataValidation type="list" sqref="E9:E54">
      <x:formula1>"Not run,In progress,Pass,Fail,Blocked,Retest due,N/A"</x:formula1>
    </x:dataValidation>
    <x:dataValidation type="list" sqref="C9:C54">
      <x:formula1>"P0 - Critical,P1 - Required,P2 - Polish"</x:formula1>
    </x:dataValidation>
    <x:dataValidation type="list" sqref="L9:L54">
      <x:formula1>'Sessions'!$A$9:$A$38</x:formula1>
    </x:dataValidation>
  </x:dataValidations>
  <x:pageMargins left="0.7" right="0.7" top="0.75" bottom="0.75" header="0.3" footer="0.3"/>
  <x:tableParts count="1">
    <x:tablePart xmlns:r="http://schemas.openxmlformats.org/officeDocument/2006/relationships" r:id="R928952dff325442e"/>
  </x:tableParts>
</x:worksheet>
</file>

<file path=xl/worksheets/sheet8.xml><?xml version="1.0" encoding="utf-8"?>
<x:worksheet xmlns:x="http://schemas.openxmlformats.org/spreadsheetml/2006/main">
  <x:sheetFormatPr defaultRowHeight="15"/>
  <x:cols>
    <x:col min="1" max="1" width="13" hidden="0" customWidth="1"/>
    <x:col min="2" max="2" width="20" hidden="0" customWidth="1"/>
    <x:col min="3" max="3" width="19" hidden="0" customWidth="1"/>
    <x:col min="4" max="4" width="36" hidden="0" customWidth="1"/>
    <x:col min="5" max="5" width="18" hidden="0" customWidth="1"/>
    <x:col min="6" max="6" width="38" hidden="0" customWidth="1"/>
    <x:col min="7" max="7" width="36" hidden="0" customWidth="1"/>
    <x:col min="8" max="8" width="40" hidden="0" customWidth="1"/>
    <x:col min="9" max="9" width="40" hidden="0" customWidth="1"/>
    <x:col min="10" max="10" width="28" hidden="0" customWidth="1"/>
    <x:col min="11" max="11" width="16" hidden="0" customWidth="1"/>
    <x:col min="12" max="12" width="15" hidden="0" customWidth="1"/>
    <x:col min="13" max="13" width="18" hidden="0" customWidth="1"/>
    <x:col min="14" max="14" width="14" hidden="0" customWidth="1"/>
    <x:col min="15" max="15" width="35" hidden="0" customWidth="1"/>
  </x:cols>
  <x:sheetData>
    <x:row r="1">
      <x:c r="A1" s="14" t="str">
        <x:v>ORBIT ADS DEV | PRODUCT QA</x:v>
      </x:c>
      <x:c r="B1" s="14"/>
      <x:c r="C1" s="14"/>
      <x:c r="D1" s="14"/>
      <x:c r="E1" s="14"/>
      <x:c r="F1" s="14"/>
      <x:c r="G1" s="14"/>
      <x:c r="H1" s="14"/>
      <x:c r="I1" s="14"/>
      <x:c r="J1" s="14"/>
      <x:c r="K1" s="14"/>
      <x:c r="L1" s="14"/>
      <x:c r="M1" s="14"/>
      <x:c r="N1" s="14"/>
      <x:c r="O1" s="14"/>
    </x:row>
    <x:row r="2">
      <x:c r="A2" s="14"/>
      <x:c r="B2" s="14"/>
      <x:c r="C2" s="14"/>
      <x:c r="D2" s="14"/>
      <x:c r="E2" s="14"/>
      <x:c r="F2" s="14"/>
      <x:c r="G2" s="14"/>
      <x:c r="H2" s="14"/>
      <x:c r="I2" s="14"/>
      <x:c r="J2" s="14"/>
      <x:c r="K2" s="14"/>
      <x:c r="L2" s="14"/>
      <x:c r="M2" s="14"/>
      <x:c r="N2" s="14"/>
      <x:c r="O2" s="14"/>
    </x:row>
    <x:row r="3" ht="24" customHeight="1">
      <x:c r="A3" s="19" t="str">
        <x:v>Baseline 42e8b200 | 28 tests | No results pre-approved | P0/P1 must be resolved before product sign-off</x:v>
      </x:c>
      <x:c r="B3" s="19"/>
      <x:c r="C3" s="19"/>
      <x:c r="D3" s="19"/>
      <x:c r="E3" s="19"/>
      <x:c r="F3" s="19"/>
      <x:c r="G3" s="19"/>
      <x:c r="H3" s="19"/>
      <x:c r="I3" s="19"/>
      <x:c r="J3" s="19"/>
      <x:c r="K3" s="19"/>
      <x:c r="L3" s="19"/>
      <x:c r="M3" s="19"/>
      <x:c r="N3" s="19"/>
      <x:c r="O3" s="19"/>
    </x:row>
    <x:row r="4" ht="24" customHeight="1">
      <x:c r="A4" s="22" t="str">
        <x:v>Fill Status, Actual result, Evidence, Bug ID, Session, Tester and Date. Filters available on row 8. N/A needs a reason; missing hardware is Blocked.</x:v>
      </x:c>
      <x:c r="B4" s="22"/>
      <x:c r="C4" s="22"/>
      <x:c r="D4" s="22"/>
      <x:c r="E4" s="22"/>
      <x:c r="F4" s="22"/>
      <x:c r="G4" s="22"/>
      <x:c r="H4" s="22"/>
      <x:c r="I4" s="22"/>
      <x:c r="J4" s="22"/>
      <x:c r="K4" s="22"/>
      <x:c r="L4" s="22"/>
      <x:c r="M4" s="22"/>
      <x:c r="N4" s="22"/>
      <x:c r="O4" s="22"/>
    </x:row>
    <x:row r="5">
      <x:c r="A5" s="10"/>
      <x:c r="B5" s="10"/>
      <x:c r="C5" s="10"/>
      <x:c r="D5" s="10"/>
      <x:c r="E5" s="10"/>
      <x:c r="F5" s="10"/>
      <x:c r="G5" s="10"/>
      <x:c r="H5" s="10"/>
      <x:c r="I5" s="10"/>
      <x:c r="J5" s="10"/>
      <x:c r="K5" s="10"/>
      <x:c r="L5" s="10"/>
      <x:c r="M5" s="10"/>
      <x:c r="N5" s="10"/>
      <x:c r="O5" s="10"/>
    </x:row>
    <x:row r="6" ht="23" customHeight="1">
      <x:c r="A6" s="25" t="str">
        <x:v>TOTAL</x:v>
      </x:c>
      <x:c r="B6" s="25" t="n">
        <x:f>COUNTA(A9:A36)</x:f>
        <x:v>28</x:v>
      </x:c>
      <x:c r="C6" s="25" t="str">
        <x:v>PASS</x:v>
      </x:c>
      <x:c r="D6" s="25" t="n">
        <x:f>COUNTIF(E9:E36,"Pass")</x:f>
        <x:v>25</x:v>
      </x:c>
      <x:c r="E6" s="25" t="str">
        <x:v>FAIL</x:v>
      </x:c>
      <x:c r="F6" s="25" t="n">
        <x:f>COUNTIF(E9:E36,"Fail")</x:f>
        <x:v>2</x:v>
      </x:c>
      <x:c r="G6" s="25" t="str">
        <x:v>BLOCKED</x:v>
      </x:c>
      <x:c r="H6" s="25" t="n">
        <x:f>COUNTIF(E9:E36,"Blocked")</x:f>
        <x:v>0</x:v>
      </x:c>
      <x:c r="I6" s="25" t="str">
        <x:v>NOT RUN</x:v>
      </x:c>
      <x:c r="J6" s="25" t="n">
        <x:f>COUNTIF(E9:E36,"Not run")</x:f>
        <x:v>0</x:v>
      </x:c>
      <x:c r="K6" s="25" t="str">
        <x:v>EXECUTED</x:v>
      </x:c>
      <x:c r="L6" s="28" t="n">
        <x:f>IFERROR((COUNTIF(E9:E36,"Pass")+COUNTIF(E9:E36,"Fail")+COUNTIF(E9:E36,"N/A"))/COUNTA(A9:A36),0)</x:f>
        <x:v>1</x:v>
      </x:c>
      <x:c r="M6" s="10"/>
      <x:c r="N6" s="10"/>
      <x:c r="O6" s="10"/>
    </x:row>
    <x:row r="7">
      <x:c r="A7" s="10"/>
      <x:c r="B7" s="10"/>
      <x:c r="C7" s="10"/>
      <x:c r="D7" s="10"/>
      <x:c r="E7" s="10"/>
      <x:c r="F7" s="10"/>
      <x:c r="G7" s="10"/>
      <x:c r="H7" s="10"/>
      <x:c r="I7" s="10"/>
      <x:c r="J7" s="10"/>
      <x:c r="K7" s="10"/>
      <x:c r="L7" s="10"/>
      <x:c r="M7" s="10"/>
      <x:c r="N7" s="10"/>
      <x:c r="O7" s="10"/>
    </x:row>
    <x:row r="8" ht="32" customHeight="1">
      <x:c r="A8" s="33" t="str">
        <x:v>Test ID</x:v>
      </x:c>
      <x:c r="B8" s="33" t="str">
        <x:v>Environment</x:v>
      </x:c>
      <x:c r="C8" s="33" t="str">
        <x:v>Priority</x:v>
      </x:c>
      <x:c r="D8" s="33" t="str">
        <x:v>Test / feature</x:v>
      </x:c>
      <x:c r="E8" s="33" t="str">
        <x:v>Status</x:v>
      </x:c>
      <x:c r="F8" s="33" t="str">
        <x:v>Actual result / notes</x:v>
      </x:c>
      <x:c r="G8" s="33" t="str">
        <x:v>Setup / caution</x:v>
      </x:c>
      <x:c r="H8" s="33" t="str">
        <x:v>Steps to perform</x:v>
      </x:c>
      <x:c r="I8" s="33" t="str">
        <x:v>Expected result</x:v>
      </x:c>
      <x:c r="J8" s="33" t="str">
        <x:v>Evidence link / file</x:v>
      </x:c>
      <x:c r="K8" s="33" t="str">
        <x:v>Bug ID(s)</x:v>
      </x:c>
      <x:c r="L8" s="33" t="str">
        <x:v>Session ID</x:v>
      </x:c>
      <x:c r="M8" s="33" t="str">
        <x:v>Tester</x:v>
      </x:c>
      <x:c r="N8" s="33" t="str">
        <x:v>Test date</x:v>
      </x:c>
      <x:c r="O8" s="33" t="str">
        <x:v>Source / baseline reference</x:v>
      </x:c>
    </x:row>
    <x:row r="9" ht="76" customHeight="1">
      <x:c r="A9" s="42" t="str">
        <x:v>OAD-001</x:v>
      </x:c>
      <x:c r="B9" s="42" t="str">
        <x:v>LOCAL DEV</x:v>
      </x:c>
      <x:c r="C9" s="42" t="str">
        <x:v>P0 - Critical</x:v>
      </x:c>
      <x:c r="D9" s="42" t="str">
        <x:v>Host / game connection</x:v>
      </x:c>
      <x:c r="E9" s="48" t="str">
        <x:v>Pass</x:v>
      </x:c>
      <x:c r="F9" s="48" t="str">
        <x:v>PREVIOUS RESULT: Pass. Website Ad Dev identified current game orbit-break, Connected renderer YES, Renderer ready YES, Game state menu; the game-side panel reported bridge ready and mock provider. One transient disconnect event appeared during load but recovered.
NEW RESULT: PASS; COMPLETED.
REASON: Orbit Ads Integration reports ready host mock and connected renderer; actual host route uses DEV source.
SCOPE: LOCAL DEV 5191
V3: Pass; retained V2 evidence, not rerun. 
Session: V2-DEV; scope: LOCAL DEV 5191. See QA_FINALIZATION_V3_JOURNAL.json#OAD-001 and HANDOFF_AND_FIX_QUEUE.md.
Retained prior verified evidence — not rerun in Final AI pass.</x:v>
      </x:c>
      <x:c r="G9" s="42" t="str">
        <x:v>Reset defaults/reload; use a disposable local profile.</x:v>
      </x:c>
      <x:c r="H9" s="42" t="str">
        <x:v>Open Orbit in full-site DEV; open website and Orbit panels.</x:v>
      </x:c>
      <x:c r="I9" s="42" t="str">
        <x:v>Provider MOCK, surface GAME, renderer connected, correct orbit.* placements and bridge ready.</x:v>
      </x:c>
      <x:c r="J9" s="48" t="str">
        <x:v>C:/Users/mlgjm/OneDrive/Desktop/GameWebsite/outputs/qa-recovery-v2/QA_Evidence/orbit-ads-runtime.txt; historical: C:/Users/mlgjm/OneDrive/Desktop/GameWebsite/outputs/qa-20261006/QA_Evidence/notes/browser-observations.md; V3 journal: C:/Users/mlgjm/OneDrive/Desktop/GameWebsite/outputs/qa-finalization-v3/QA_FINALIZATION_V3_JOURNAL.json#OAD-001</x:v>
      </x:c>
      <x:c r="K9" s="48"/>
      <x:c r="L9" s="48" t="str">
        <x:v>V2-DEV</x:v>
      </x:c>
      <x:c r="M9" s="48" t="str">
        <x:v>Codex QA</x:v>
      </x:c>
      <x:c r="N9" s="58" t="n">
        <x:v>46301</x:v>
      </x:c>
      <x:c r="O9" s="54" t="str"/>
    </x:row>
    <x:row r="10" ht="76" customHeight="1">
      <x:c r="A10" s="44" t="str">
        <x:v>OAD-002</x:v>
      </x:c>
      <x:c r="B10" s="44" t="str">
        <x:v>LOCAL DEV</x:v>
      </x:c>
      <x:c r="C10" s="44" t="str">
        <x:v>P1 - Required</x:v>
      </x:c>
      <x:c r="D10" s="44" t="str">
        <x:v>Null/standalone distinction</x:v>
      </x:c>
      <x:c r="E10" s="48" t="str">
        <x:v>Pass</x:v>
      </x:c>
      <x:c r="F10" s="48" t="str">
        <x:v>PREVIOUS RESULT: Blocked. HUMAN TEST REQUIRED: Compare a standalone Orbit DEV launch against the integrated host in a separate clean browser session.
NEW RESULT: PASS; COMPLETED.
REASON: Owned standaloneDEV5193 normalPlay thenForceDeath gives permanentresult with noWatchad/WhyAds; Bridge readyfalse, hostcapsnull, noadrevive availability. Full host5191provenseparately.
SCOPE: STANDALONE DEV 5193
V3: Pass; retained V2 evidence, not rerun. 
Session: V2-ORB-STANDALONE; scope: STANDALONE DEV 5193. See QA_FINALIZATION_V3_JOURNAL.json#OAD-002 and HANDOFF_AND_FIX_QUEUE.md.
Retained prior verified evidence — not rerun in Final AI pass.</x:v>
      </x:c>
      <x:c r="G10" s="44"/>
      <x:c r="H10" s="44" t="str">
        <x:v>Open standalone dev:orbit separately without host.</x:v>
      </x:c>
      <x:c r="I10" s="44" t="str">
        <x:v>Game works; no approved host means no ad-backed revive availability. Full integration uses website route.</x:v>
      </x:c>
      <x:c r="J10" s="48" t="str">
        <x:v>C:/Users/mlgjm/OneDrive/Desktop/GameWebsite/outputs/qa-recovery-v2/QA_Evidence/standalone-orbit-null.txt; historical: C:/Users/mlgjm/OneDrive/Desktop/GameWebsite/outputs/qa-20261006/QA_Evidence/notes/browser-observations.md; V3 journal: C:/Users/mlgjm/OneDrive/Desktop/GameWebsite/outputs/qa-finalization-v3/QA_FINALIZATION_V3_JOURNAL.json#OAD-002</x:v>
      </x:c>
      <x:c r="K10" s="48"/>
      <x:c r="L10" s="48" t="str">
        <x:v>V2-ORB-STANDALONE</x:v>
      </x:c>
      <x:c r="M10" s="48" t="str">
        <x:v>Codex QA</x:v>
      </x:c>
      <x:c r="N10" s="58" t="n">
        <x:v>46301</x:v>
      </x:c>
      <x:c r="O10" s="55" t="str"/>
    </x:row>
    <x:row r="11" ht="76" customHeight="1">
      <x:c r="A11" s="42" t="str">
        <x:v>OAD-003</x:v>
      </x:c>
      <x:c r="B11" s="42" t="str">
        <x:v>LOCAL DEV</x:v>
      </x:c>
      <x:c r="C11" s="42" t="str">
        <x:v>P0 - Critical</x:v>
      </x:c>
      <x:c r="D11" s="42" t="str">
        <x:v>Startup OFF and unified start</x:v>
      </x:c>
      <x:c r="E11" s="48" t="str">
        <x:v>Pass</x:v>
      </x:c>
      <x:c r="F11" s="48" t="str">
        <x:v>PREVIOUS RESULT: Blocked. HUMAN / ENVIRONMENT FOLLOW-UP REQUIRED: Prior DEV session verified default startup OFF and PLAY below eligibility started a run without showing an ad. In this continuation, a temporary Startup ON test showed startup before gameplay and the switch was restored OFF. Alternate start input remains unchecked. Remaining acceptance criteria were not established in this browser session; complete on the specified supported device/profile or with the missing deterministic setup, then update from direct evidence.
NEW RESULT: NOT_EXECUTED; RUNNABLE.
REASON: Existing evidence needs a targeted comparison against all expected assertions; no V2 browser execution yet.
SCOPE: Historical evidence only; V2 not executed
V3: Blocked [ENVIRONMENT_SETUP]. Proven already: No complete direct evidence; earlier notes retained above.
Remaining: Required assertions not yet fully verified: Normal starts; no startup wait; inputs share one lock and do not bypass policy. Procedure: With default OFF, start using PLAY, Space and tap separately.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Required assertions not yet fully verified: Normal starts; no startup wait; inputs share one lock and do not bypass policy. Procedure: With default OFF, start using PLAY, Space and tap separately.
Session: S04; scope: Historical evidence only; V2 not executed. See QA_FINALIZATION_V3_JOURNAL.json#OAD-003 and HANDOFF_AND_FIX_QUEUE.md.
FINAL AI 4B.2 (2026-10-07): BLOCKED — HUMAN TESTING REQUIRED [BUDGET / HUMAN QA HANDOFF].
Why AI did not finish: The bounded Final AI testing window did not complete the full compound scenario. This remains AI-suitable or mixed work, handed to Human QA rather than claiming all practical AI testing complete.
AI already proved: No complete independent evidence for the remaining assertions; historical observations remain in the workbook.
Remaining: Normal starts; no startup wait; inputs share one lock and do not bypass policy. Procedure: With default OFF, start using PLAY, Space and tap separately.
Human action (HQA-16): 1. Use LOCAL DEV; Native browser, fresh QA namespace, actual WATCH request and read-only snapshots. 2. Create a disposable QA/profile when changing saved state; launch qa:dev or qa:preview for the specified local environment and use the actual printed URL. 3. Execute only the remaining assertion: Normal starts; no startup wait; inputs share one lock and do not bypass policy. Procedure: With default OFF, start using PLAY, Space and tap separately.
Expected: Normal starts; no startup wait; inputs share one lock and do not bypass policy.
Capture: Pass/Fail per ID, screenshot or timestamped video/state snapshot, device/OS/browser versions, viewport/zoom/DPR and a note; compare prior evidence instead of repeating proven subassertions.
Session/evidence: S18; Historical evidence retained; no fresh case execution claimed. Full grouped instructions: HUMAN_QA_FINAL.md#hqa-16.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11" s="42"/>
      <x:c r="H11" s="42" t="str">
        <x:v>With default OFF, start using PLAY, Space and tap separately.</x:v>
      </x:c>
      <x:c r="I11" s="42" t="str">
        <x:v>Normal starts; no startup wait; inputs share one lock and do not bypass policy.</x:v>
      </x:c>
      <x:c r="J11" s="48" t="str">
        <x:v>C:/Users/mlgjm/OneDrive/Desktop/GameWebsite/outputs/qa-20261006/QA_Evidence/notes/browser-observations.md; V3 journal: C:/Users/mlgjm/OneDrive/Desktop/GameWebsite/outputs/qa-finalization-v3/QA_FINALIZATION_V3_JOURNAL.json#OAD-003
Human QA completion statement, 2026-10-07; prior AI evidence retained.</x:v>
      </x:c>
      <x:c r="K11" s="48"/>
      <x:c r="L11" s="48" t="str">
        <x:v>S20</x:v>
      </x:c>
      <x:c r="M11" s="48" t="str">
        <x:v>Hristo</x:v>
      </x:c>
      <x:c r="N11" s="58" t="n">
        <x:v>46302</x:v>
      </x:c>
      <x:c r="O11" s="54" t="str"/>
    </x:row>
    <x:row r="12" ht="76" customHeight="1">
      <x:c r="A12" s="44" t="str">
        <x:v>OAD-004</x:v>
      </x:c>
      <x:c r="B12" s="44" t="str">
        <x:v>LOCAL DEV</x:v>
      </x:c>
      <x:c r="C12" s="44" t="str">
        <x:v>P0 - Critical</x:v>
      </x:c>
      <x:c r="D12" s="44" t="str">
        <x:v>Startup priority over eligible PLAY</x:v>
      </x:c>
      <x:c r="E12" s="48" t="str">
        <x:v>Pass</x:v>
      </x:c>
      <x:c r="F12" s="48" t="str">
        <x:v>PREVIOUS RESULT: Blocked. HUMAN / ENVIRONMENT FOLLOW-UP REQUIRED: With the Startup Enabled switch ON, clicking PLAY displayed the mock startup presentation before gameplay; after it completed, the game entered a run (score 49 observed). This session toggle was returned OFF afterward. Eligible-play priority and once/session repeat were not verified. Remaining acceptance criteria were not established in this browser session; complete on the specified supported device/profile or with the missing deterministic setup, then update from direct evidence.
NEW RESULT: PASS; COMPLETED.
REASON: StartupON plus eligible interstitial: actual PLAY showed orbit.startup once then entered run, interstitial shown stayed4. No chained play interstitial from same action.
SCOPE: LOCAL DEV 5191
V3: Pass; retained V2 evidence, not rerun. 
Session: V2-DEV; scope: LOCAL DEV 5191. See QA_FINALIZATION_V3_JOURNAL.json#OAD-004 and HANDOFF_AND_FIX_QUEUE.md.
Retained prior verified evidence — not rerun in Final AI pass.</x:v>
      </x:c>
      <x:c r="G12" s="44" t="str">
        <x:v>Fresh session; inspect both global and placement usage.</x:v>
      </x:c>
      <x:c r="H12" s="44" t="str">
        <x:v>Enable startup; make interstitial eligible before first Start.</x:v>
      </x:c>
      <x:c r="I12" s="44" t="str">
        <x:v>One startup only, then play; never startup followed by interstitial from same action.</x:v>
      </x:c>
      <x:c r="J12" s="48" t="str">
        <x:v>C:/Users/mlgjm/OneDrive/Desktop/GameWebsite/outputs/qa-recovery-v2/QA_Evidence/orbit-startup-priority-before.txt; C:/Users/mlgjm/OneDrive/Desktop/GameWebsite/outputs/qa-recovery-v2/QA_Evidence/orbit-startup-priority-after.txt; historical: C:/Users/mlgjm/OneDrive/Desktop/GameWebsite/outputs/qa-20261006/QA_Evidence/notes/browser-observations.md; V3 journal: C:/Users/mlgjm/OneDrive/Desktop/GameWebsite/outputs/qa-finalization-v3/QA_FINALIZATION_V3_JOURNAL.json#OAD-004</x:v>
      </x:c>
      <x:c r="K12" s="48"/>
      <x:c r="L12" s="48" t="str">
        <x:v>V2-DEV</x:v>
      </x:c>
      <x:c r="M12" s="48" t="str">
        <x:v>Codex QA</x:v>
      </x:c>
      <x:c r="N12" s="58" t="n">
        <x:v>46301</x:v>
      </x:c>
      <x:c r="O12" s="55" t="str"/>
    </x:row>
    <x:row r="13" ht="76" customHeight="1">
      <x:c r="A13" s="42" t="str">
        <x:v>OAD-005</x:v>
      </x:c>
      <x:c r="B13" s="42" t="str">
        <x:v>LOCAL DEV</x:v>
      </x:c>
      <x:c r="C13" s="42" t="str">
        <x:v>P0 - Critical</x:v>
      </x:c>
      <x:c r="D13" s="42" t="str">
        <x:v>PLAY eligible interstitial</x:v>
      </x:c>
      <x:c r="E13" s="48" t="str">
        <x:v>Fail</x:v>
      </x:c>
      <x:c r="F13" s="48" t="str">
        <x:v>PREVIOUS RESULT: Pass. With a fresh local DEV ad session, Make Eligible followed by PLAY emitted play-requested for orbit.play-interstitial; the mock reached completed, then gameplay resumed and score advanced.
NEW RESULT: PASS; COMPLETED.
REASON: After startup consumed, later actual PLAY showed one orbit.play-interstitial, then entered exactly one new run and Pause worked.
SCOPE: LOCAL DEV 5191
V3: Pass; retained V2 evidence, not rerun. 
Session: V2-DEV; scope: LOCAL DEV 5191. See QA_FINALIZATION_V3_JOURNAL.json#OAD-005 and HANDOFF_AND_FIX_QUEUE.md.
Retained prior verified evidence — not rerun in Final AI pass.
FINAL HUMAN QA (2026-10-07): FAIL — human DEV run did not present the expected eligible Orbit interstitial. Inspector observation: requests=9, accepted=0, blocked=9 across the exercised flow. Exact block reason is not diagnosed during QA. Bug: HQA-005.</x:v>
      </x:c>
      <x:c r="G13" s="42"/>
      <x:c r="H13" s="42" t="str">
        <x:v>Startup disabled/consumed; make eligible, then press PLAY.</x:v>
      </x:c>
      <x:c r="I13" s="42" t="str">
        <x:v>Courtesy + one mock, then exactly one new run. Eligibility alone did nothing.</x:v>
      </x:c>
      <x:c r="J13" s="48" t="str">
        <x:v>C:/Users/mlgjm/OneDrive/Desktop/GameWebsite/outputs/qa-recovery-v2/QA_Evidence/orbit-second-start-interstitial.txt; historical: C:/Users/mlgjm/OneDrive/Desktop/GameWebsite/outputs/qa-20261006/QA_Evidence/notes/browser-observations.md; V3 journal: C:/Users/mlgjm/OneDrive/Desktop/GameWebsite/outputs/qa-finalization-v3/QA_FINALIZATION_V3_JOURNAL.json#OAD-005
Human QA chat observations/screenshots, 2026-10-07; prior AI evidence retained.</x:v>
      </x:c>
      <x:c r="K13" s="48" t="str">
        <x:v>HQA-005</x:v>
      </x:c>
      <x:c r="L13" s="48" t="str">
        <x:v>S20</x:v>
      </x:c>
      <x:c r="M13" s="48" t="str">
        <x:v>Hristo</x:v>
      </x:c>
      <x:c r="N13" s="58" t="n">
        <x:v>46302</x:v>
      </x:c>
      <x:c r="O13" s="54" t="str"/>
    </x:row>
    <x:row r="14" ht="76" customHeight="1">
      <x:c r="A14" s="44" t="str">
        <x:v>OAD-006</x:v>
      </x:c>
      <x:c r="B14" s="44" t="str">
        <x:v>LOCAL DEV</x:v>
      </x:c>
      <x:c r="C14" s="44" t="str">
        <x:v>P0 - Critical</x:v>
      </x:c>
      <x:c r="D14" s="44" t="str">
        <x:v>RESTART eligible interstitial</x:v>
      </x:c>
      <x:c r="E14" s="48" t="str">
        <x:v>Fail</x:v>
      </x:c>
      <x:c r="F14" s="48" t="str">
        <x:v>PREVIOUS RESULT: Blocked. HUMAN TEST REQUIRED: RESTART safe-event interstitial requires a controlled gameplay run and persistent run history.
NEW RESULT: PARTIAL; RUNNABLE.
REASON: Default offer expired before actual double-click Restart. Host recorded exactly one restart-requested safe event/presentation and completed it; run ID changed from 5ea102e7 to 03545271. New run played normally and subsequently died. Exactly-once quest/save assertion still requires a before/after completion count.
SCOPE: LOCAL DEV 5191
V3: Blocked [ENVIRONMENT_SETUP]. Proven already: Default offer expired before actual double-click Restart. Host recorded exactly one restart-requested safe event/presentation and completed it; run ID changed from 5ea102e7 to 03545271. New run played normally and subsequently died. Exactly-once quest/save assertion still requires a before/after completion count.
Remaining: Before/after exactly-once quest/save count on actual restart; one event and new run ID already proven.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Before/after exactly-once quest/save count on actual restart; one event and new run ID already proven.
Session: V2-DEV; scope: LOCAL DEV 5191. See QA_FINALIZATION_V3_JOURNAL.json#OAD-006 and HANDOFF_AND_FIX_QUEUE.md.
FINAL AI 4B.2 (2026-10-07): Pass. Actual old run d070a343 score406 was nonfinal at offer. Eligible public RESTART produced one new orbit.restart-interstitial shown/completed increment4, then new run707178f0 only after completion. Completed scoreboard contains old406 exactly once. No forced reward or injected run boundary.
Session/evidence: S18; QA_Evidence/observations.json.
FINAL HUMAN QA (2026-10-07): FAIL — human DEV run did not present the expected eligible Orbit restart interstitial. Inspector observation: requests=9, accepted=0, blocked=9 across the exercised flow. Exact block reason is not diagnosed during QA. Bug: HQA-005.</x:v>
      </x:c>
      <x:c r="G14" s="44"/>
      <x:c r="H14" s="44" t="str">
        <x:v>Play, die/resolve revive, make eligible and press RESTART.</x:v>
      </x:c>
      <x:c r="I14" s="44" t="str">
        <x:v>Old run finalizes once; one restart-requested opportunity; new runId only on fresh start.</x:v>
      </x:c>
      <x:c r="J14" s="48" t="str">
        <x:v>C:/Users/mlgjm/OneDrive/Desktop/GameWebsite/outputs/qa-recovery-v2/QA_Evidence/orbit-default-offer-expiry.txt; C:/Users/mlgjm/OneDrive/Desktop/GameWebsite/outputs/qa-recovery-v2/QA_Evidence/orbit-real-restart-new-run.txt; C:/Users/mlgjm/OneDrive/Desktop/GameWebsite/outputs/qa-recovery-v2/QA_Evidence/orbit-real-restart-ad-events.txt; historical: C:/Users/mlgjm/OneDrive/Desktop/GameWebsite/outputs/qa-20261006/QA_Evidence/notes/browser-observations.md; V3 journal: C:/Users/mlgjm/OneDrive/Desktop/GameWebsite/outputs/qa-finalization-v3/QA_FINALIZATION_V3_JOURNAL.json#OAD-006; FINAL AI: C:/Users/mlgjm/OneDrive/Desktop/GameWebsite/outputs/qa-final-ai/2026-10-07_000739/QA_Evidence/observations.json
Human QA chat observations/screenshots, 2026-10-07; prior AI evidence retained.</x:v>
      </x:c>
      <x:c r="K14" s="48" t="str">
        <x:v>HQA-005</x:v>
      </x:c>
      <x:c r="L14" s="48" t="str">
        <x:v>S20</x:v>
      </x:c>
      <x:c r="M14" s="48" t="str">
        <x:v>Hristo</x:v>
      </x:c>
      <x:c r="N14" s="58" t="n">
        <x:v>46302</x:v>
      </x:c>
      <x:c r="O14" s="55" t="str"/>
    </x:row>
    <x:row r="15" ht="76" customHeight="1">
      <x:c r="A15" s="42" t="str">
        <x:v>OAD-007</x:v>
      </x:c>
      <x:c r="B15" s="42" t="str">
        <x:v>LOCAL DEV</x:v>
      </x:c>
      <x:c r="C15" s="42" t="str">
        <x:v>P0 - Critical</x:v>
      </x:c>
      <x:c r="D15" s="42" t="str">
        <x:v>No ads on excluded inputs</x:v>
      </x:c>
      <x:c r="E15" s="48" t="str">
        <x:v>Pass</x:v>
      </x:c>
      <x:c r="F15" s="48" t="str">
        <x:v>PREVIOUS RESULT: Blocked. HUMAN TEST REQUIRED: Excluded-input matrix requires a controlled active gameplay run and event/counter inspection.
NEW RESULT: PARTIAL; RUNNABLE.
REASON: Ateligiblethreshold, Space reversalinput, ordinaryPause/Resume,Settings,MainMenuCancel/Confirm,Quests/Locker/Scores andWhyAds made nointerstitialrequest; countremained1untilexplicitregisteredevent. Death-aloneeligibleboundary stilltargeted.
SCOPE: LOCAL DEV ordinary UI exclusions
V3: Blocked [ENVIRONMENT_SETUP]. Proven already: Ateligiblethreshold, Space reversalinput, ordinaryPause/Resume,Settings,MainMenuCancel/Confirm,Quests/Locker/Scores andWhyAds made nointerstitialrequest; countremained1untilexplicitregisteredevent. Death-aloneeligibleboundary stilltargeted.
Remaining: Eligible death alone must produce no interstitial; other excluded inputs already proven.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Eligible death alone must produce no interstitial; other excluded inputs already proven.
Session: V2-DEV; scope: LOCAL DEV ordinary UI exclusions. See QA_FINALIZATION_V3_JOURNAL.json#OAD-007 and HANDOFF_AND_FIX_QUEUE.md.
FINAL AI 4B.2 (2026-10-07): Pass. With eligibility ready, exercised actual mouse reverse, Pause/Resume, Settings, Quests, Locker, Scores and Why Ads. Host event log contained state/UI work without interstitial requests from these actions. Separate eligible Force death changed playing→game-over while shown2 and placements unchanged, no request/presentation; only later actual Restart made the safe opportunity.
Session/evidence: S18; QA_Evidence/observations.json.</x:v>
      </x:c>
      <x:c r="G15" s="42"/>
      <x:c r="H15" s="42" t="str">
        <x:v>With eligibility ready, reverse, Pause/Resume, Settings, Locker, Quests, Scores and Why Ads.</x:v>
      </x:c>
      <x:c r="I15" s="42" t="str">
        <x:v>No interstitial request from excluded actions. Death alone also shows no interstitial.</x:v>
      </x:c>
      <x:c r="J15" s="48" t="str">
        <x:v>C:/Users/mlgjm/OneDrive/Desktop/GameWebsite/outputs/qa-recovery-v2/QA_Evidence/orbit-excluded-ui-no-interstitial.txt; historical: C:/Users/mlgjm/OneDrive/Desktop/GameWebsite/outputs/qa-20261006/QA_Evidence/notes/browser-observations.md; V3 journal: C:/Users/mlgjm/OneDrive/Desktop/GameWebsite/outputs/qa-finalization-v3/QA_FINALIZATION_V3_JOURNAL.json#OAD-007; FINAL AI: C:/Users/mlgjm/OneDrive/Desktop/GameWebsite/outputs/qa-final-ai/2026-10-07_000739/QA_Evidence/observations.json</x:v>
      </x:c>
      <x:c r="K15" s="48"/>
      <x:c r="L15" s="48" t="str">
        <x:v>S18</x:v>
      </x:c>
      <x:c r="M15" s="48" t="str">
        <x:v>Codex Final AI QA</x:v>
      </x:c>
      <x:c r="N15" s="58" t="n">
        <x:v>46301.8803125</x:v>
      </x:c>
      <x:c r="O15" s="54" t="str"/>
    </x:row>
    <x:row r="16" ht="76" customHeight="1">
      <x:c r="A16" s="44" t="str">
        <x:v>OAD-008</x:v>
      </x:c>
      <x:c r="B16" s="44" t="str">
        <x:v>LOCAL DEV</x:v>
      </x:c>
      <x:c r="C16" s="44" t="str">
        <x:v>P0 - Critical</x:v>
      </x:c>
      <x:c r="D16" s="44" t="str">
        <x:v>Revive offer layout and timer</x:v>
      </x:c>
      <x:c r="E16" s="48" t="str">
        <x:v>Pass</x:v>
      </x:c>
      <x:c r="F16" s="48" t="str">
        <x:v>PREVIOUS RESULT: Pass. On isolated S04, completed a rewarded revive and observed the run return to active play; a subsequent death in the same run finalized without another revive offer.
NEW RESULT: PASS; COMPLETED.
REASON: Fresh default-eight-second offer displayed AD Revive, Restart and Main Menu. Countdown reached permanent Your run is complete with Revive removed; no automatic ad or fresh run. Desktop layout captured; no phone-layout assertion.
SCOPE: LOCAL DEV 5191
V3: Pass; retained V2 evidence, not rerun. 
Session: V2-DEV; scope: LOCAL DEV 5191. See QA_FINALIZATION_V3_JOURNAL.json#OAD-008 and HANDOFF_AND_FIX_QUEUE.md.
Retained prior verified evidence — not rerun in Final AI pass.</x:v>
      </x:c>
      <x:c r="G16" s="44"/>
      <x:c r="H16" s="44" t="str">
        <x:v>Force death in fresh run with refill available; observe eight-second offer.</x:v>
      </x:c>
      <x:c r="I16" s="44" t="str">
        <x:v>AD Revive, timer, Restart and Main Menu fit; timer expires without automatic ad/restart.</x:v>
      </x:c>
      <x:c r="J16" s="48" t="str">
        <x:v>C:/Users/mlgjm/OneDrive/Desktop/GameWebsite/outputs/qa-recovery-v2/QA_Evidence/orbit-default-offer-expiry.txt; C:/Users/mlgjm/OneDrive/Desktop/GameWebsite/outputs/qa-recovery-v2/QA_Evidence/orbit-expired-permanent-result.txt; C:/Users/mlgjm/OneDrive/Desktop/GameWebsite/outputs/qa-recovery-v2/QA_Evidence/orbit-offer-result-layout.png; historical: C:/Users/mlgjm/OneDrive/Desktop/GameWebsite/outputs/qa-20261006/QA_Evidence/notes/browser-observations.md; V3 journal: C:/Users/mlgjm/OneDrive/Desktop/GameWebsite/outputs/qa-finalization-v3/QA_FINALIZATION_V3_JOURNAL.json#OAD-008</x:v>
      </x:c>
      <x:c r="K16" s="48"/>
      <x:c r="L16" s="48" t="str">
        <x:v>V2-DEV</x:v>
      </x:c>
      <x:c r="M16" s="48" t="str">
        <x:v>Codex QA</x:v>
      </x:c>
      <x:c r="N16" s="58" t="n">
        <x:v>46301</x:v>
      </x:c>
      <x:c r="O16" s="55" t="str"/>
    </x:row>
    <x:row r="17" ht="76" customHeight="1">
      <x:c r="A17" s="42" t="str">
        <x:v>OAD-009</x:v>
      </x:c>
      <x:c r="B17" s="42" t="str">
        <x:v>LOCAL DEV</x:v>
      </x:c>
      <x:c r="C17" s="42" t="str">
        <x:v>P0 - Critical</x:v>
      </x:c>
      <x:c r="D17" s="42" t="str">
        <x:v>Offer freezes on request</x:v>
      </x:c>
      <x:c r="E17" s="48" t="str">
        <x:v>Pass</x:v>
      </x:c>
      <x:c r="F17" s="48" t="str">
        <x:v>PREVIOUS RESULT: Blocked. HUMAN TEST REQUIRED: Offer-freeze timing needs a revive offer near expiry and a controlled long preparation/courtesy delay.
NEW RESULT: PARTIAL; RUNNABLE.
REASON: Requested revive remained pending through 2000ms loading, 400ms courtesy and 5000ms presentation, then returned to the same run with one qualified reward. Offer freeze is observed, but this attempt requested at 8s; exact near-expiry long-load combination still needs a targeted check.
SCOPE: LOCAL DEV 5191
V3: Blocked [ENVIRONMENT_SETUP]. Proven already: Requested revive remained pending through 2000ms loading, 400ms courtesy and 5000ms presentation, then returned to the same run with one qualified reward. Offer freeze is observed, but this attempt requested at 8s; exact near-expiry long-load combination still needs a targeted check.
Remaining: Near-expiry request with long loading/courtesy/presentation; request at eight seconds already proven.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Near-expiry request with long loading/courtesy/presentation; request at eight seconds already proven.
Session: V2-DEV; scope: LOCAL DEV 5191. See QA_FINALIZATION_V3_JOURNAL.json#OAD-009 and HANDOFF_AND_FIX_QUEUE.md.
FINAL AI 4B.2 (2026-10-07): Pass. Real rewarded revive: before offer≈7.72s; two pending observations4s apart both retained WATCH TO REVIVE(8s), score2 and elapsed0.3s while actual mock15s ran. Completion returned same run to play despite ad longer than offer; no offer lost to watching.
Session/evidence: S18; QA_Evidence/observations.json.</x:v>
      </x:c>
      <x:c r="G17" s="42"/>
      <x:c r="H17" s="42" t="str">
        <x:v>Wait until near expiry, click Revive; use long loading/courtesy/mock durations.</x:v>
      </x:c>
      <x:c r="I17" s="42" t="str">
        <x:v>Timer stops while request/presentation pending; no lost offer merely from watching requested ad.</x:v>
      </x:c>
      <x:c r="J17" s="48" t="str">
        <x:v>C:/Users/mlgjm/OneDrive/Desktop/GameWebsite/outputs/qa-recovery-v2/QA_Evidence/orbit-delayed-revive-offer.txt; C:/Users/mlgjm/OneDrive/Desktop/GameWebsite/outputs/qa-recovery-v2/QA_Evidence/orbit-delayed-revive-pending.txt; C:/Users/mlgjm/OneDrive/Desktop/GameWebsite/outputs/qa-recovery-v2/QA_Evidence/orbit-delayed-revive-host.txt; C:/Users/mlgjm/OneDrive/Desktop/GameWebsite/outputs/qa-recovery-v2/QA_Evidence/orbit-delayed-revive-same-run.txt; historical: C:/Users/mlgjm/OneDrive/Desktop/GameWebsite/outputs/qa-20261006/QA_Evidence/notes/browser-observations.md; V3 journal: C:/Users/mlgjm/OneDrive/Desktop/GameWebsite/outputs/qa-finalization-v3/QA_FINALIZATION_V3_JOURNAL.json#OAD-009; FINAL AI: C:/Users/mlgjm/OneDrive/Desktop/GameWebsite/outputs/qa-final-ai/2026-10-07_000739/QA_Evidence/observations.json</x:v>
      </x:c>
      <x:c r="K17" s="48"/>
      <x:c r="L17" s="48" t="str">
        <x:v>S18</x:v>
      </x:c>
      <x:c r="M17" s="48" t="str">
        <x:v>Codex Final AI QA</x:v>
      </x:c>
      <x:c r="N17" s="58" t="n">
        <x:v>46301.8803125</x:v>
      </x:c>
      <x:c r="O17" s="54" t="str"/>
    </x:row>
    <x:row r="18" ht="76" customHeight="1">
      <x:c r="A18" s="44" t="str">
        <x:v>OAD-010</x:v>
      </x:c>
      <x:c r="B18" s="44" t="str">
        <x:v>LOCAL DEV</x:v>
      </x:c>
      <x:c r="C18" s="44" t="str">
        <x:v>P0 - Critical</x:v>
      </x:c>
      <x:c r="D18" s="44" t="str">
        <x:v>Qualified revive exact state</x:v>
      </x:c>
      <x:c r="E18" s="48" t="str">
        <x:v>Pass</x:v>
      </x:c>
      <x:c r="F18" s="48" t="str">
        <x:v>PREVIOUS RESULT: Blocked. HUMAN TEST REQUIRED: Qualified revive requires the runId and full state captured before and after the game-owned reward.
NEW RESULT: PARTIAL; RUNNABLE.
REASON: Qualified revive acknowledged once; same d3278b42 runId and completed result. Score resumed rather than reset. Exact instant elapsed/difficulty/direction/hazard equality still needs targeted measurement.
SCOPE: LOCAL DEV 5191
V3: Blocked [ENVIRONMENT_SETUP]. Proven already: Qualified revive acknowledged once; same d3278b42 runId and completed result. Score resumed rather than reset. Exact instant elapsed/difficulty/direction/hazard equality still needs targeted measurement.
Remaining: Instant elapsed/difficulty/direction equality, hazards cleared and no finished record at revive; same run ID/one acknowledgment already proven.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Instant elapsed/difficulty/direction equality, hazards cleared and no finished record at revive; same run ID/one acknowledgment already proven.
Session: V2-DEV; scope: LOCAL DEV 5191. See QA_FINALIZATION_V3_JOURNAL.json#OAD-010 and HANDOFF_AND_FIX_QUEUE.md.
FINAL AI 4B.2 (2026-10-07): BLOCKED — HUMAN TESTING REQUIRED [BUDGET / HUMAN QA HANDOFF].
Why AI did not finish: The bounded Final AI testing window did not complete the full compound scenario. This remains AI-suitable or mixed work, handed to Human QA rather than claiming all practical AI testing complete.
AI already proved: Real completion preserves run ID, elapsed and score; short completion snapshot same db2b6d6d score8→18 elapsed0.81→1.84, consumedtrue/finalizedfalse/projectiles0. Host actual reward acknowledgment1 and cap blocked secondshow. Earlier long flow proved frozen pending timer.
Remaining: Need a death with live hazards present, capture completion clearing them and verify no finished-run quest/score save on revive. Current short scenario started with0hazards so it cannot prove clearing.
Human action (HQA-16): 1. Use LOCAL DEV; Native browser, fresh QA namespace, actual WATCH request and read-only snapshots. 2. Create a disposable QA/profile when changing saved state; launch qa:dev or qa:preview for the specified local environment and use the actual printed URL. 3. Execute only the remaining assertion: Need a death with live hazards present, capture completion clearing them and verify no finished-run quest/score save on revive. Current short scenario started with0hazards so it cannot prove clearing.
Expected: Same run values; hazards cleared; one reward acknowledgment; no completed-run record yet.
Capture: Pass/Fail per ID, screenshot or timestamped video/state snapshot, device/OS/browser versions, viewport/zoom/DPR and a note; compare prior evidence instead of repeating proven subassertions.
Session/evidence: S18; QA_Evidence/observations.json. Full grouped instructions: HUMAN_QA_FINAL.md#hqa-16.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18" s="44"/>
      <x:c r="H18" s="44" t="str">
        <x:v>Record runId, score, elapsed, difficulty, direction; complete revive.</x:v>
      </x:c>
      <x:c r="I18" s="44" t="str">
        <x:v>Same run values; hazards cleared; one reward acknowledgment; no completed-run record yet.</x:v>
      </x:c>
      <x:c r="J18" s="48" t="str">
        <x:v>C:/Users/mlgjm/OneDrive/Desktop/GameWebsite/outputs/qa-recovery-v2/QA_Evidence/orbit-revive-same-id.txt; C:/Users/mlgjm/OneDrive/Desktop/GameWebsite/outputs/qa-recovery-v2/QA_Evidence/orbit-revive-completed-host.txt; historical: C:/Users/mlgjm/OneDrive/Desktop/GameWebsite/outputs/qa-20261006/QA_Evidence/notes/browser-observations.md; V3 journal: C:/Users/mlgjm/OneDrive/Desktop/GameWebsite/outputs/qa-finalization-v3/QA_FINALIZATION_V3_JOURNAL.json#OAD-010; FINAL AI: C:/Users/mlgjm/OneDrive/Desktop/GameWebsite/outputs/qa-final-ai/2026-10-07_000739/QA_Evidence/observations.json
Human QA completion statement, 2026-10-07; prior AI evidence retained.</x:v>
      </x:c>
      <x:c r="K18" s="48"/>
      <x:c r="L18" s="48" t="str">
        <x:v>S20</x:v>
      </x:c>
      <x:c r="M18" s="48" t="str">
        <x:v>Hristo</x:v>
      </x:c>
      <x:c r="N18" s="58" t="n">
        <x:v>46302</x:v>
      </x:c>
      <x:c r="O18" s="55" t="str"/>
    </x:row>
    <x:row r="19" ht="76" customHeight="1">
      <x:c r="A19" s="42" t="str">
        <x:v>OAD-011</x:v>
      </x:c>
      <x:c r="B19" s="42" t="str">
        <x:v>LOCAL DEV</x:v>
      </x:c>
      <x:c r="C19" s="42" t="str">
        <x:v>P0 - Critical</x:v>
      </x:c>
      <x:c r="D19" s="42" t="str">
        <x:v>Protection and extra attack delay</x:v>
      </x:c>
      <x:c r="E19" s="48" t="str">
        <x:v>Pass</x:v>
      </x:c>
      <x:c r="F19" s="48" t="str">
        <x:v>PREVIOUS RESULT: Blocked. HUMAN TEST REQUIRED: Post-revive protection/attack delay requires a successful revive with a hazard placed at the return point.
NEW RESULT: PARTIAL; RUNNABLE.
REASON: Passed deterministic test establishes 1500ms default protection, cleared projectiles and next attack at normal interval+1000ms; actual browser revive safely resumed. Near-hazard first-seconds browser observation remains unexecuted, so no complete browser verdict is assigned.
SCOPE: Deterministic protection/delay + representative LOCAL DEV revive
V3: Blocked [ENVIRONMENT_SETUP]. Proven already: Passed deterministic test establishes 1500ms default protection, cleared projectiles and next attack at normal interval+1000ms; actual browser revive safely resumed. Near-hazard first-seconds browser observation remains unexecuted, so no complete browser verdict is assigned.
Remaining: Observe first seconds after revive near hazards: shield and normal interval plus extra delay; deterministic defaults already proven.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Observe first seconds after revive near hazards: shield and normal interval plus extra delay; deterministic defaults already proven.
Session: V2-DEV; scope: Deterministic protection/delay + representative LOCAL DEV revive. See QA_FINALIZATION_V3_JOURNAL.json#OAD-011 and HANDOFF_AND_FIX_QUEUE.md.
FINAL AI 4B.2 (2026-10-07): BLOCKED — HUMAN TESTING REQUIRED [BUDGET / HUMAN QA HANDOFF].
Why AI did not finish: The bounded Final AI testing window did not complete the full compound scenario. This remains AI-suitable or mixed work, handed to Human QA rather than claiming all practical AI testing complete.
AI already proved: Default revive protection1.5s and extra delay1s controls visible; actual completed revive returned usable play without an immediate repeat death.
Remaining: Measure shield expiry and first next attack timing from slow-motion capture at default difficulty; current DOM snapshot lacks shield/next-attack deadline fields.
Human action (HQA-16): 1. Use LOCAL DEV; Native browser, fresh QA namespace, actual WATCH request and read-only snapshots. 2. Create a disposable QA/profile when changing saved state; launch qa:dev or qa:preview for the specified local environment and use the actual printed URL. 3. Execute only the remaining assertion: Measure shield expiry and first next attack timing from slow-motion capture at default difficulty; current DOM snapshot lacks shield/next-attack deadline fields.
Expected: 1.5s shield default; next attack delayed by normal interval plus one extra second; no instant repeat death.
Capture: Pass/Fail per ID, screenshot or timestamped video/state snapshot, device/OS/browser versions, viewport/zoom/DPR and a note; compare prior evidence instead of repeating proven subassertions.
Session/evidence: S18; QA_Evidence/observations.json. Full grouped instructions: HUMAN_QA_FINAL.md#hqa-16.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19" s="42"/>
      <x:c r="H19" s="42" t="str">
        <x:v>Complete revive with nearby hazards; inspect first seconds of restored play.</x:v>
      </x:c>
      <x:c r="I19" s="42" t="str">
        <x:v>1.5s shield default; next attack delayed by normal interval plus one extra second; no instant repeat death.</x:v>
      </x:c>
      <x:c r="J19" s="48" t="str">
        <x:v>C:/Users/mlgjm/OneDrive/Desktop/GameWebsite/outputs/qa-recovery-v2/QA_Evidence/test-orbit-ads.log; C:/Users/mlgjm/OneDrive/Desktop/GameWebsite/outputs/qa-recovery-v2/QA_Evidence/orbit-delayed-revive-same-run.txt; historical: C:/Users/mlgjm/OneDrive/Desktop/GameWebsite/outputs/qa-20261006/QA_Evidence/notes/browser-observations.md; V3 journal: C:/Users/mlgjm/OneDrive/Desktop/GameWebsite/outputs/qa-finalization-v3/QA_FINALIZATION_V3_JOURNAL.json#OAD-011; FINAL AI: C:/Users/mlgjm/OneDrive/Desktop/GameWebsite/outputs/qa-final-ai/2026-10-07_000739/QA_Evidence/observations.json
Human QA completion statement, 2026-10-07; prior AI evidence retained.</x:v>
      </x:c>
      <x:c r="K19" s="48"/>
      <x:c r="L19" s="48" t="str">
        <x:v>S20</x:v>
      </x:c>
      <x:c r="M19" s="48" t="str">
        <x:v>Hristo</x:v>
      </x:c>
      <x:c r="N19" s="58" t="n">
        <x:v>46302</x:v>
      </x:c>
      <x:c r="O19" s="54" t="str"/>
    </x:row>
    <x:row r="20" ht="76" customHeight="1">
      <x:c r="A20" s="44" t="str">
        <x:v>OAD-012</x:v>
      </x:c>
      <x:c r="B20" s="44" t="str">
        <x:v>LOCAL DEV</x:v>
      </x:c>
      <x:c r="C20" s="44" t="str">
        <x:v>P0 - Critical</x:v>
      </x:c>
      <x:c r="D20" s="44" t="str">
        <x:v>Second death run cap</x:v>
      </x:c>
      <x:c r="E20" s="48" t="str">
        <x:v>Pass</x:v>
      </x:c>
      <x:c r="F20" s="48" t="str">
        <x:v>PREVIOUS RESULT: Pass. On isolated S04, completed one eligible in-game rewarded revive, then forced a second death in the same run; the second death finalized directly without another revive offer.
NEW RESULT: PASS; COMPLETED.
REASON: After completed revive, Force Death in the same run produced permanent SIGNAL LOST with no WATCH TO REVIVE; best427 and a single427 score record.
SCOPE: LOCAL DEV 5191
V3: Pass; retained V2 evidence, not rerun. 
Session: V2-DEV; scope: LOCAL DEV 5191. See QA_FINALIZATION_V3_JOURNAL.json#OAD-012 and HANDOFF_AND_FIX_QUEUE.md.
Retained prior verified evidence — not rerun in Final AI pass.</x:v>
      </x:c>
      <x:c r="G20" s="44"/>
      <x:c r="H20" s="44" t="str">
        <x:v>After successful revive, die again in same run.</x:v>
      </x:c>
      <x:c r="I20" s="44" t="str">
        <x:v>No second allowed revive attempt; permanent finalization once.</x:v>
      </x:c>
      <x:c r="J20" s="48" t="str">
        <x:v>C:/Users/mlgjm/OneDrive/Desktop/GameWebsite/outputs/qa-recovery-v2/QA_Evidence/orbit-second-death.txt; C:/Users/mlgjm/OneDrive/Desktop/GameWebsite/outputs/qa-recovery-v2/QA_Evidence/orbit-single-score-after-revive.txt; historical: C:/Users/mlgjm/OneDrive/Desktop/GameWebsite/outputs/qa-20261006/QA_Evidence/notes/browser-observations.md; V3 journal: C:/Users/mlgjm/OneDrive/Desktop/GameWebsite/outputs/qa-finalization-v3/QA_FINALIZATION_V3_JOURNAL.json#OAD-012</x:v>
      </x:c>
      <x:c r="K20" s="48"/>
      <x:c r="L20" s="48" t="str">
        <x:v>V2-DEV</x:v>
      </x:c>
      <x:c r="M20" s="48" t="str">
        <x:v>Codex QA</x:v>
      </x:c>
      <x:c r="N20" s="58" t="n">
        <x:v>46301</x:v>
      </x:c>
      <x:c r="O20" s="55" t="str"/>
    </x:row>
    <x:row r="21" ht="76" customHeight="1">
      <x:c r="A21" s="42" t="str">
        <x:v>OAD-013</x:v>
      </x:c>
      <x:c r="B21" s="42" t="str">
        <x:v>LOCAL DEV</x:v>
      </x:c>
      <x:c r="C21" s="42" t="str">
        <x:v>P0 - Critical</x:v>
      </x:c>
      <x:c r="D21" s="42" t="str">
        <x:v>Skip consumes shown attempt</x:v>
      </x:c>
      <x:c r="E21" s="48" t="str">
        <x:v>Pass</x:v>
      </x:c>
      <x:c r="F21" s="48" t="str">
        <x:v>PREVIOUS RESULT: Blocked. HUMAN TEST REQUIRED: Skip-consumes-attempt requires the rewarded presentation and retry within one disposable run.
NEW RESULT: PASS; COMPLETED.
REASON: Fresh860dcc75run offerdoubleclicked, oneplayerpresentation; Skip returnedclosed/player-skip, consumedtrue, adsuspendedfalse, permanentresultno secondoffer.
SCOPE: LOCAL DEV 5191
V3: Pass; retained V2 evidence, not rerun. 
Session: V2-DEV; scope: LOCAL DEV 5191. See QA_FINALIZATION_V3_JOURNAL.json#OAD-013 and HANDOFF_AND_FIX_QUEUE.md.
Retained prior verified evidence — not rerun in Final AI pass.</x:v>
      </x:c>
      <x:c r="G21" s="42"/>
      <x:c r="H21" s="42" t="str">
        <x:v>On fresh run die and choose revive; skip after showing.</x:v>
      </x:c>
      <x:c r="I21" s="42" t="str">
        <x:v>No revive; shown attempt consumed, one final result; no second reward on repeated button/results.</x:v>
      </x:c>
      <x:c r="J21" s="48" t="str">
        <x:v>C:/Users/mlgjm/OneDrive/Desktop/GameWebsite/outputs/qa-recovery-v2/QA_Evidence/orbit-revive-skip-terminal.txt; C:/Users/mlgjm/OneDrive/Desktop/GameWebsite/outputs/qa-recovery-v2/QA_Evidence/orbit-skip-consumed.txt; historical: C:/Users/mlgjm/OneDrive/Desktop/GameWebsite/outputs/qa-20261006/QA_Evidence/notes/browser-observations.md; V3 journal: C:/Users/mlgjm/OneDrive/Desktop/GameWebsite/outputs/qa-finalization-v3/QA_FINALIZATION_V3_JOURNAL.json#OAD-013</x:v>
      </x:c>
      <x:c r="K21" s="48"/>
      <x:c r="L21" s="48" t="str">
        <x:v>V2-DEV</x:v>
      </x:c>
      <x:c r="M21" s="48" t="str">
        <x:v>Codex QA</x:v>
      </x:c>
      <x:c r="N21" s="58" t="n">
        <x:v>46301</x:v>
      </x:c>
      <x:c r="O21" s="54" t="str"/>
    </x:row>
    <x:row r="22" ht="76" customHeight="1">
      <x:c r="A22" s="44" t="str">
        <x:v>OAD-014</x:v>
      </x:c>
      <x:c r="B22" s="44" t="str">
        <x:v>LOCAL DEV</x:v>
      </x:c>
      <x:c r="C22" s="44" t="str">
        <x:v>P1 - Required</x:v>
      </x:c>
      <x:c r="D22" s="44" t="str">
        <x:v>Pre-show No fill grace</x:v>
      </x:c>
      <x:c r="E22" s="48" t="str">
        <x:v>Pass</x:v>
      </x:c>
      <x:c r="F22" s="48" t="str">
        <x:v>PREVIOUS RESULT: Blocked. HUMAN TEST REQUIRED: No-fill grace requires a near-expiry revive plus a one-shot No fill in a disposable run.
NEW RESULT: PASS; COMPLETED.
REASON: Freshfd8d9d27withvalidDEVoffer3s: conditionwaituntil1s, requestNoFill, waitpendinglabelhidden in samecall; offerreturns3s, consumedfalse, adsuspendedfalse, no reward.
SCOPE: LOCAL DEV 5191
V3: Pass; retained V2 evidence, not rerun. 
Session: V2-DEV; scope: LOCAL DEV 5191. See QA_FINALIZATION_V3_JOURNAL.json#OAD-014 and HANDOFF_AND_FIX_QUEUE.md.
Retained prior verified evidence — not rerun in Final AI pass.</x:v>
      </x:c>
      <x:c r="G22" s="44"/>
      <x:c r="H22" s="44" t="str">
        <x:v>Near timer expiry request revive with Next result No fill.</x:v>
      </x:c>
      <x:c r="I22" s="44" t="str">
        <x:v>No reward; at least three seconds grace when returned; attempt still unused subject to host rules.</x:v>
      </x:c>
      <x:c r="J22" s="48" t="str">
        <x:v>C:/Users/mlgjm/OneDrive/Desktop/GameWebsite/outputs/qa-recovery-v2/QA_Evidence/orbit-near-expiry-grace-confirmed.json; historical: C:/Users/mlgjm/OneDrive/Desktop/GameWebsite/outputs/qa-20261006/QA_Evidence/notes/browser-observations.md; V3 journal: C:/Users/mlgjm/OneDrive/Desktop/GameWebsite/outputs/qa-finalization-v3/QA_FINALIZATION_V3_JOURNAL.json#OAD-014</x:v>
      </x:c>
      <x:c r="K22" s="48"/>
      <x:c r="L22" s="48" t="str">
        <x:v>V2-DEV</x:v>
      </x:c>
      <x:c r="M22" s="48" t="str">
        <x:v>Codex QA</x:v>
      </x:c>
      <x:c r="N22" s="58" t="n">
        <x:v>46301</x:v>
      </x:c>
      <x:c r="O22" s="55" t="str"/>
    </x:row>
    <x:row r="23" ht="76" customHeight="1">
      <x:c r="A23" s="42" t="str">
        <x:v>OAD-015</x:v>
      </x:c>
      <x:c r="B23" s="42" t="str">
        <x:v>LOCAL DEV</x:v>
      </x:c>
      <x:c r="C23" s="42" t="str">
        <x:v>P1 - Required</x:v>
      </x:c>
      <x:c r="D23" s="42" t="str">
        <x:v>Pre-show Load error grace</x:v>
      </x:c>
      <x:c r="E23" s="48" t="str">
        <x:v>Pass</x:v>
      </x:c>
      <x:c r="F23" s="48" t="str">
        <x:v>PREVIOUS RESULT: Blocked. HUMAN TEST REQUIRED: Load-error grace requires a near-expiry revive plus a one-shot Load error.
NEW RESULT: PASS; COMPLETED.
REASON: Fresh8e1c60e7withvalidDEVoffer3s: near-expiry1sLoadError returns3sgrace, consumedfalse, adsuspendedfalse, same deadrun, no reward/lock.
SCOPE: LOCAL DEV 5191
V3: Pass; retained V2 evidence, not rerun. 
Session: V2-DEV; scope: LOCAL DEV 5191. See QA_FINALIZATION_V3_JOURNAL.json#OAD-015 and HANDOFF_AND_FIX_QUEUE.md.
Retained prior verified evidence — not rerun in Final AI pass.</x:v>
      </x:c>
      <x:c r="G23" s="42"/>
      <x:c r="H23" s="42" t="str">
        <x:v>Repeat with Load error.</x:v>
      </x:c>
      <x:c r="I23" s="42" t="str">
        <x:v>No reward or stuck state; unused opportunity remains with documented grace.</x:v>
      </x:c>
      <x:c r="J23" s="48" t="str">
        <x:v>C:/Users/mlgjm/OneDrive/Desktop/GameWebsite/outputs/qa-recovery-v2/QA_Evidence/orbit-near-expiry-grace-confirmed.json; historical: C:/Users/mlgjm/OneDrive/Desktop/GameWebsite/outputs/qa-20261006/QA_Evidence/notes/browser-observations.md; V3 journal: C:/Users/mlgjm/OneDrive/Desktop/GameWebsite/outputs/qa-finalization-v3/QA_FINALIZATION_V3_JOURNAL.json#OAD-015</x:v>
      </x:c>
      <x:c r="K23" s="48"/>
      <x:c r="L23" s="48" t="str">
        <x:v>V2-DEV</x:v>
      </x:c>
      <x:c r="M23" s="48" t="str">
        <x:v>Codex QA</x:v>
      </x:c>
      <x:c r="N23" s="58" t="n">
        <x:v>46301</x:v>
      </x:c>
      <x:c r="O23" s="54" t="str"/>
    </x:row>
    <x:row r="24" ht="76" customHeight="1">
      <x:c r="A24" s="44" t="str">
        <x:v>OAD-016</x:v>
      </x:c>
      <x:c r="B24" s="44" t="str">
        <x:v>LOCAL DEV</x:v>
      </x:c>
      <x:c r="C24" s="44" t="str">
        <x:v>P1 - Required</x:v>
      </x:c>
      <x:c r="D24" s="44" t="str">
        <x:v>Timeout/unavailable recovery</x:v>
      </x:c>
      <x:c r="E24" s="48" t="str">
        <x:v>Pass</x:v>
      </x:c>
      <x:c r="F24" s="48" t="str">
        <x:v>PREVIOUS RESULT: Blocked. HUMAN TEST REQUIRED: Timeout/unavailable recovery requires separate controlled runs and outcomes.
NEW RESULT: PASS; COMPLETED.
REASON: Independentfresh30a2241bTimeout anda9db1fcfUnavailable requests failbefore-show; consumedfalse, adsuspendedfalse, dead offerreturns3s, no reward or lock. ShownSkip separately consumesattempt underOAD013.
SCOPE: LOCAL DEV 5191
V3: Pass; retained V2 evidence, not rerun. 
Session: V2-DEV; scope: LOCAL DEV 5191. See QA_FINALIZATION_V3_JOURNAL.json#OAD-016 and HANDOFF_AND_FIX_QUEUE.md.
Retained prior verified evidence — not rerun in Final AI pass.</x:v>
      </x:c>
      <x:c r="G24" s="44"/>
      <x:c r="H24" s="44" t="str">
        <x:v>Use separate fresh runs for Timeout and Unavailable.</x:v>
      </x:c>
      <x:c r="I24" s="44" t="str">
        <x:v>No reward; safe death/result continuation; shown-vs-not-shown allowance handled correctly.</x:v>
      </x:c>
      <x:c r="J24" s="48" t="str">
        <x:v>C:/Users/mlgjm/OneDrive/Desktop/GameWebsite/outputs/qa-recovery-v2/QA_Evidence/orbit-timeout-unavailable.json; historical: C:/Users/mlgjm/OneDrive/Desktop/GameWebsite/outputs/qa-20261006/QA_Evidence/notes/browser-observations.md; V3 journal: C:/Users/mlgjm/OneDrive/Desktop/GameWebsite/outputs/qa-finalization-v3/QA_FINALIZATION_V3_JOURNAL.json#OAD-016</x:v>
      </x:c>
      <x:c r="K24" s="48"/>
      <x:c r="L24" s="48" t="str">
        <x:v>V2-DEV</x:v>
      </x:c>
      <x:c r="M24" s="48" t="str">
        <x:v>Codex QA</x:v>
      </x:c>
      <x:c r="N24" s="58" t="n">
        <x:v>46301</x:v>
      </x:c>
      <x:c r="O24" s="55" t="str"/>
    </x:row>
    <x:row r="25" ht="76" customHeight="1">
      <x:c r="A25" s="42" t="str">
        <x:v>OAD-017</x:v>
      </x:c>
      <x:c r="B25" s="42" t="str">
        <x:v>LOCAL DEV</x:v>
      </x:c>
      <x:c r="C25" s="42" t="str">
        <x:v>P0 - Critical</x:v>
      </x:c>
      <x:c r="D25" s="42" t="str">
        <x:v>Countdown expiry finalizes once</x:v>
      </x:c>
      <x:c r="E25" s="48" t="str">
        <x:v>Pass</x:v>
      </x:c>
      <x:c r="F25" s="48" t="str">
        <x:v>PREVIOUS RESULT: Pass. A rapid double-click on Orbit DEV Force Death produced one revive offer; after it expired, the run-complete state appeared once and run score 285 appeared once in Scores.
NEW RESULT: NOT_EXECUTED; RUNNABLE.
REASON: Existing evidence needs a targeted comparison against all expected assertions; no V2 browser execution yet.
SCOPE: Historical evidence only; V2 not executed
V3: Blocked [ENVIRONMENT_SETUP]. Proven already: No complete direct evidence; earlier notes retained above.
Remaining: Required assertions not yet fully verified: One finished score/run-quest increment only; repeated terminal actions do not duplicate saves. Procedure: Let offer expire then click Restart/Main Menu.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Required assertions not yet fully verified: One finished score/run-quest increment only; repeated terminal actions do not duplicate saves. Procedure: Let offer expire then click Restart/Main Menu.
Session: S04; scope: Historical evidence only; V2 not executed. See QA_FINALIZATION_V3_JOURNAL.json#OAD-017 and HANDOFF_AND_FIX_QUEUE.md.
FINAL AI 4B.2 (2026-10-07): BLOCKED — HUMAN TESTING REQUIRED [BUDGET / HUMAN QA HANDOFF].
Why AI did not finish: The bounded Final AI testing window did not complete the full compound scenario. This remains AI-suitable or mixed work, handed to Human QA rather than claiming all practical AI testing complete.
AI already proved: Offer expired after actual death; snapshot finalized=true/offer0 on same run. Repeated Force death terminal actions did not re-enter offer.
Remaining: Check completed-score count and finished-run quest increment before/after expiry/repeated terminal actions to prove exactly one save/increment.
Human action (HQA-16): 1. Use LOCAL DEV; Native browser, fresh QA namespace, actual WATCH request and read-only snapshots. 2. Create a disposable QA/profile when changing saved state; launch qa:dev or qa:preview for the specified local environment and use the actual printed URL. 3. Execute only the remaining assertion: Check completed-score count and finished-run quest increment before/after expiry/repeated terminal actions to prove exactly one save/increment.
Expected: One finished score/run-quest increment only; repeated terminal actions do not duplicate saves.
Capture: Pass/Fail per ID, screenshot or timestamped video/state snapshot, device/OS/browser versions, viewport/zoom/DPR and a note; compare prior evidence instead of repeating proven subassertions.
Session/evidence: S18; QA_Evidence/observations.json. Full grouped instructions: HUMAN_QA_FINAL.md#hqa-16.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25" s="42"/>
      <x:c r="H25" s="42" t="str">
        <x:v>Let offer expire then click Restart/Main Menu.</x:v>
      </x:c>
      <x:c r="I25" s="42" t="str">
        <x:v>One finished score/run-quest increment only; repeated terminal actions do not duplicate saves.</x:v>
      </x:c>
      <x:c r="J25" s="48" t="str">
        <x:v>C:/Users/mlgjm/OneDrive/Desktop/GameWebsite/outputs/qa-20261006/QA_Evidence/notes/browser-observations.md; V3 journal: C:/Users/mlgjm/OneDrive/Desktop/GameWebsite/outputs/qa-finalization-v3/QA_FINALIZATION_V3_JOURNAL.json#OAD-017; FINAL AI: C:/Users/mlgjm/OneDrive/Desktop/GameWebsite/outputs/qa-final-ai/2026-10-07_000739/QA_Evidence/observations.json
Human QA completion statement, 2026-10-07; prior AI evidence retained.</x:v>
      </x:c>
      <x:c r="K25" s="48"/>
      <x:c r="L25" s="48" t="str">
        <x:v>S20</x:v>
      </x:c>
      <x:c r="M25" s="48" t="str">
        <x:v>Hristo</x:v>
      </x:c>
      <x:c r="N25" s="58" t="n">
        <x:v>46302</x:v>
      </x:c>
      <x:c r="O25" s="54" t="str"/>
    </x:row>
    <x:row r="26" ht="76" customHeight="1">
      <x:c r="A26" s="44" t="str">
        <x:v>OAD-018</x:v>
      </x:c>
      <x:c r="B26" s="44" t="str">
        <x:v>LOCAL DEV</x:v>
      </x:c>
      <x:c r="C26" s="44" t="str">
        <x:v>P1 - Required</x:v>
      </x:c>
      <x:c r="D26" s="44" t="str">
        <x:v>Menu abandonment / cancel</x:v>
      </x:c>
      <x:c r="E26" s="48" t="str">
        <x:v>Pass</x:v>
      </x:c>
      <x:c r="F26" s="48" t="str">
        <x:v>PREVIOUS RESULT: Blocked. HUMAN TEST REQUIRED: Menu abandonment/cancel requires active run state and a confirmed/end-run sequence.
NEW RESULT: PARTIAL; RUNNABLE.
REASON: Pause Main Menu CANCEL returned paused run without ending. END RUN returned Orbit menu in same route; later PLAY eligible interstitial. Exactly-once abandonment record still requires score-list comparison.
SCOPE: LOCAL DEV 5191
V3: Blocked [ENVIRONMENT_SETUP]. Proven already: Pause Main Menu CANCEL returned paused run without ending. END RUN returned Orbit menu in same route; later PLAY eligible interstitial. Exactly-once abandonment record still requires score-list comparison.
Remaining: Exactly-once abandonment save/score-list comparison; Cancel and End Run already proven.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Exactly-once abandonment save/score-list comparison; Cancel and End Run already proven.
Session: V2-DEV; scope: LOCAL DEV 5191. See QA_FINALIZATION_V3_JOURNAL.json#OAD-018 and HANDOFF_AND_FIX_QUEUE.md.
FINAL AI 4B.2 (2026-10-07): Pass. With eligible interstitial policy, actual Pause→Main Menu→CANCEL restored same paused HUD/run. Second confirmation END RUN returned menu once; terminal confirmation no longer existed. Scores showed current run426 exactly once. Host Events showed game-state changes and no ad-request for menu/cancel/confirm.
Session/evidence: S18; QA_Evidence/observations.json.</x:v>
      </x:c>
      <x:c r="G26" s="44"/>
      <x:c r="H26" s="44" t="str">
        <x:v>Pause live run; cancel Menu confirmation, then confirm in another attempt.</x:v>
      </x:c>
      <x:c r="I26" s="44" t="str">
        <x:v>Cancel preserves run; confirm ends once. Menu itself no interstitial; later PLAY may be an opportunity.</x:v>
      </x:c>
      <x:c r="J26" s="48" t="str">
        <x:v>C:/Users/mlgjm/OneDrive/Desktop/GameWebsite/outputs/qa-recovery-v2/QA_Evidence/orbit-menu-cancel.txt; C:/Users/mlgjm/OneDrive/Desktop/GameWebsite/outputs/qa-recovery-v2/QA_Evidence/orbit-menu-end.txt; C:/Users/mlgjm/OneDrive/Desktop/GameWebsite/outputs/qa-recovery-v2/QA_Evidence/orbit-second-start-interstitial.txt; historical: C:/Users/mlgjm/OneDrive/Desktop/GameWebsite/outputs/qa-20261006/QA_Evidence/notes/browser-observations.md; V3 journal: C:/Users/mlgjm/OneDrive/Desktop/GameWebsite/outputs/qa-finalization-v3/QA_FINALIZATION_V3_JOURNAL.json#OAD-018; FINAL AI: C:/Users/mlgjm/OneDrive/Desktop/GameWebsite/outputs/qa-final-ai/2026-10-07_000739/QA_Evidence/observations.json</x:v>
      </x:c>
      <x:c r="K26" s="48"/>
      <x:c r="L26" s="48" t="str">
        <x:v>S18</x:v>
      </x:c>
      <x:c r="M26" s="48" t="str">
        <x:v>Codex Final AI QA</x:v>
      </x:c>
      <x:c r="N26" s="58" t="n">
        <x:v>46301.8803125</x:v>
      </x:c>
      <x:c r="O26" s="55" t="str"/>
    </x:row>
    <x:row r="27" ht="76" customHeight="1">
      <x:c r="A27" s="42" t="str">
        <x:v>OAD-019</x:v>
      </x:c>
      <x:c r="B27" s="42" t="str">
        <x:v>LOCAL DEV</x:v>
      </x:c>
      <x:c r="C27" s="42" t="str">
        <x:v>P0 - Critical</x:v>
      </x:c>
      <x:c r="D27" s="42" t="str">
        <x:v>Revive and quest accounting</x:v>
      </x:c>
      <x:c r="E27" s="48" t="str">
        <x:v>Pass</x:v>
      </x:c>
      <x:c r="F27" s="48" t="str">
        <x:v>PREVIOUS RESULT: Blocked. HUMAN TEST REQUIRED: Revive/quest accounting requires comparison across a completed revive and final death in one run.
NEW RESULT: PASS; COMPLETED.
REASON: Fresh origin had best0; real revive kept best0 during resumed run, permanent death saved one427 score and Complete3runs progressed1/3. No partial revive score entry.
SCOPE: LOCAL DEV 5191
V3: Pass; retained V2 evidence, not rerun. 
Session: V2-DEV; scope: LOCAL DEV 5191. See QA_FINALIZATION_V3_JOURNAL.json#OAD-019 and HANDOFF_AND_FIX_QUEUE.md.
Retained prior verified evidence — not rerun in Final AI pass.</x:v>
      </x:c>
      <x:c r="G27" s="42"/>
      <x:c r="H27" s="42" t="str">
        <x:v>Compare completed-runs quest/score list before death, revive and final death.</x:v>
      </x:c>
      <x:c r="I27" s="42" t="str">
        <x:v>Revive does not increment completed-runs or add partial score; permanent end does once.</x:v>
      </x:c>
      <x:c r="J27" s="48" t="str">
        <x:v>C:/Users/mlgjm/OneDrive/Desktop/GameWebsite/outputs/qa-recovery-v2/QA_Evidence/orbit-revive-completed-host.txt; C:/Users/mlgjm/OneDrive/Desktop/GameWebsite/outputs/qa-recovery-v2/QA_Evidence/orbit-single-score-after-revive.txt; C:/Users/mlgjm/OneDrive/Desktop/GameWebsite/outputs/qa-recovery-v2/QA_Evidence/orbit-quest-after-terminal.txt; historical: C:/Users/mlgjm/OneDrive/Desktop/GameWebsite/outputs/qa-20261006/QA_Evidence/notes/browser-observations.md; V3 journal: C:/Users/mlgjm/OneDrive/Desktop/GameWebsite/outputs/qa-finalization-v3/QA_FINALIZATION_V3_JOURNAL.json#OAD-019</x:v>
      </x:c>
      <x:c r="K27" s="48"/>
      <x:c r="L27" s="48" t="str">
        <x:v>V2-DEV</x:v>
      </x:c>
      <x:c r="M27" s="48" t="str">
        <x:v>Codex QA</x:v>
      </x:c>
      <x:c r="N27" s="58" t="n">
        <x:v>46301</x:v>
      </x:c>
      <x:c r="O27" s="54" t="str"/>
    </x:row>
    <x:row r="28" ht="76" customHeight="1">
      <x:c r="A28" s="44" t="str">
        <x:v>OAD-020</x:v>
      </x:c>
      <x:c r="B28" s="44" t="str">
        <x:v>LOCAL DEV</x:v>
      </x:c>
      <x:c r="C28" s="44" t="str">
        <x:v>P0 - Critical</x:v>
      </x:c>
      <x:c r="D28" s="44" t="str">
        <x:v>Rapid click / result idempotency</x:v>
      </x:c>
      <x:c r="E28" s="48" t="str">
        <x:v>Pass</x:v>
      </x:c>
      <x:c r="F28" s="48" t="str">
        <x:v>PREVIOUS RESULT: Blocked. HUMAN TEST REQUIRED: Rapid-click idempotency needs repeated live controls while the game is in a valid request state.
NEW RESULT: PASS; COMPLETED.
REASON: Actual double-click Watch to Revive yielded one host rewarded request, one accepted/shown/completed presentation and one reward acknowledgment. Double-click actual Restart yielded one restart-requested presentation. Automated Orbit ad tests cover forged duplicate callbacks separately.
SCOPE: LOCAL DEV browser + deterministic unit guards
V3: Pass; retained V2 evidence, not rerun. 
Session: V2-DEV; scope: LOCAL DEV browser + deterministic unit guards. See QA_FINALIZATION_V3_JOURNAL.json#OAD-020 and HANDOFF_AND_FIX_QUEUE.md.
Retained prior verified evidence — not rerun in Final AI pass.</x:v>
      </x:c>
      <x:c r="G28" s="44"/>
      <x:c r="H28" s="44" t="str">
        <x:v>Double-click Revive and Start/Restart where enabled; review event log.</x:v>
      </x:c>
      <x:c r="I28" s="44" t="str">
        <x:v>One request/transition/reward. Deeper forged duplicate checks are in automated tests.</x:v>
      </x:c>
      <x:c r="J28" s="48" t="str">
        <x:v>C:/Users/mlgjm/OneDrive/Desktop/GameWebsite/outputs/qa-recovery-v2/QA_Evidence/orbit-delayed-revive-host.txt; C:/Users/mlgjm/OneDrive/Desktop/GameWebsite/outputs/qa-recovery-v2/QA_Evidence/orbit-real-restart-ad-events.txt; C:/Users/mlgjm/OneDrive/Desktop/GameWebsite/outputs/qa-recovery-v2/QA_Evidence/test-orbit-ads.log; historical: C:/Users/mlgjm/OneDrive/Desktop/GameWebsite/outputs/qa-20261006/QA_Evidence/notes/browser-observations.md; V3 journal: C:/Users/mlgjm/OneDrive/Desktop/GameWebsite/outputs/qa-finalization-v3/QA_FINALIZATION_V3_JOURNAL.json#OAD-020</x:v>
      </x:c>
      <x:c r="K28" s="48"/>
      <x:c r="L28" s="48" t="str">
        <x:v>V2-DEV</x:v>
      </x:c>
      <x:c r="M28" s="48" t="str">
        <x:v>Codex QA</x:v>
      </x:c>
      <x:c r="N28" s="58" t="n">
        <x:v>46301</x:v>
      </x:c>
      <x:c r="O28" s="55" t="str"/>
    </x:row>
    <x:row r="29" ht="76" customHeight="1">
      <x:c r="A29" s="42" t="str">
        <x:v>OAD-021</x:v>
      </x:c>
      <x:c r="B29" s="42" t="str">
        <x:v>LOCAL DEV</x:v>
      </x:c>
      <x:c r="C29" s="42" t="str">
        <x:v>P1 - Required</x:v>
      </x:c>
      <x:c r="D29" s="42" t="str">
        <x:v>Ad suspend not Pause dialog</x:v>
      </x:c>
      <x:c r="E29" s="48" t="str">
        <x:v>Pass</x:v>
      </x:c>
      <x:c r="F29" s="48" t="str">
        <x:v>PREVIOUS RESULT: Blocked. HUMAN / ENVIRONMENT FOLLOW-UP REQUIRED: A normal play interstitial presented and completed before gameplay resumed; the game did not open its PAUSED dialog during the mock fullscreen presentation. Other suspend/cancel outcomes remain untested. Remaining acceptance criteria were not established in this browser session; complete on the specified supported device/profile or with the missing deterministic setup, then update from direct evidence.
NEW RESULT: NOT_EXECUTED; RUNNABLE.
REASON: Existing evidence needs a targeted comparison against all expected assertions; no V2 browser execution yet.
SCOPE: Historical evidence only; V2 not executed
V3: Blocked [ENVIRONMENT_SETUP]. Proven already: No complete direct evidence; earlier notes retained above.
Remaining: Required assertions not yet fully verified: No ordinary Pause UI opened by ad suspension; original phase restored after preview with no reward. Procedure: Run generic preview during play and while already paused.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Required assertions not yet fully verified: No ordinary Pause UI opened by ad suspension; original phase restored after preview with no reward. Procedure: Run generic preview during play and while already paused.
Session: S04; scope: Historical evidence only; V2 not executed. See QA_FINALIZATION_V3_JOURNAL.json#OAD-021 and HANDOFF_AND_FIX_QUEUE.md.
FINAL AI 4B.2 (2026-10-07): Pass. Actual generic rewarded preview while playing suspended score6 without opening ordinary PAUSED; after completed restored playing. Actual second preview from paused score85 restored same PAUSED score85. Host completed increments3→4 but game reward acknowledgments stay2; No game reward applied.
Session/evidence: S18; QA_Evidence/observations.json.</x:v>
      </x:c>
      <x:c r="G29" s="42"/>
      <x:c r="H29" s="42" t="str">
        <x:v>Run generic preview during play and while already paused.</x:v>
      </x:c>
      <x:c r="I29" s="42" t="str">
        <x:v>No ordinary Pause UI opened by ad suspension; original phase restored after preview with no reward.</x:v>
      </x:c>
      <x:c r="J29" s="48" t="str">
        <x:v>C:/Users/mlgjm/OneDrive/Desktop/GameWebsite/outputs/qa-20261006/QA_Evidence/notes/browser-observations.md; V3 journal: C:/Users/mlgjm/OneDrive/Desktop/GameWebsite/outputs/qa-finalization-v3/QA_FINALIZATION_V3_JOURNAL.json#OAD-021; FINAL AI: C:/Users/mlgjm/OneDrive/Desktop/GameWebsite/outputs/qa-final-ai/2026-10-07_000739/QA_Evidence/observations.json</x:v>
      </x:c>
      <x:c r="K29" s="48"/>
      <x:c r="L29" s="48" t="str">
        <x:v>S18</x:v>
      </x:c>
      <x:c r="M29" s="48" t="str">
        <x:v>Codex Final AI QA</x:v>
      </x:c>
      <x:c r="N29" s="58" t="n">
        <x:v>46301.8803125</x:v>
      </x:c>
      <x:c r="O29" s="54" t="str"/>
    </x:row>
    <x:row r="30" ht="76" customHeight="1">
      <x:c r="A30" s="44" t="str">
        <x:v>OAD-022</x:v>
      </x:c>
      <x:c r="B30" s="44" t="str">
        <x:v>LOCAL DEV</x:v>
      </x:c>
      <x:c r="C30" s="44" t="str">
        <x:v>P1 - Required</x:v>
      </x:c>
      <x:c r="D30" s="44" t="str">
        <x:v>Audio preserved through all outcomes</x:v>
      </x:c>
      <x:c r="E30" s="48" t="str">
        <x:v>N/A</x:v>
      </x:c>
      <x:c r="F30" s="48" t="str">
        <x:v>PREVIOUS RESULT: Blocked. HUMAN TEST REQUIRED: verify audible cue preservation through ad outcomes on a device with audio output.
NEW RESULT: NOT_EXECUTED; RUNNABLE.
REASON: Existing evidence needs a targeted comparison against all expected assertions; no V2 browser execution yet.
SCOPE: Historical evidence only; V2 not executed
V3: Blocked [HUMAN_JUDGMENT]. Proven already: No complete direct evidence; earlier notes retained above.
Remaining: Required assertions not yet fully verified: Game muted/suspended during ad, preferences retained, appropriate music resumes only in correct phase. Procedure: Use nondefault sound settings; test completion, skip and abort.
Specific reason: Requires an audio listener or product feel assessment unavailable to this agent.
Attempted this run: no. Owner: Human tester. Next step: Human tester executes in the case environment: Required assertions not yet fully verified: Game muted/suspended during ad, preferences retained, appropriate music resumes only in correct phase. Procedure: Use nondefault sound settings; test completion, skip and abort.
Session: S02; scope: Historical evidence only; V2 not executed. See QA_FINALIZATION_V3_JOURNAL.json#OAD-022 and HANDOFF_AND_FIX_QUEUE.md.
FINAL AI 4B.2 (2026-10-07): BLOCKED — HUMAN TESTING REQUIRED [HUMAN_JUDGMENT].
Why AI did not finish: Audible quality, balance, duplication and restoration require human hearing; observable UI/state evidence is retained.
AI already proved: No complete independent evidence for the remaining assertions; historical observations remain in the workbook.
Remaining: Game muted/suspended during ad, preferences retained, appropriate music resumes only in correct phase. Procedure: Use nondefault sound settings; test completion, skip and abort.
Human action (HQA-05): 1. Use LOCAL DEV; Headphones/speakers, native Chrome/Edge and at least one physical mobile browser. 2. Physical audible check. 3. Execute only the remaining assertion: Game muted/suspended during ad, preferences retained, appropriate music resumes only in correct phase. Procedure: Use nondefault sound settings; test completion, skip and abort.
Expected: Game muted/suspended during ad, preferences retained, appropriate music resumes only in correct phase.
Capture: Pass/Fail per ID, screenshot or timestamped video/state snapshot, device/OS/browser versions, viewport/zoom/DPR and a note; compare prior evidence instead of repeating proven subassertions.
Session/evidence: S18; Historical evidence retained; no fresh case execution claimed. Full grouped instructions: HUMAN_QA_FINAL.md#hqa-05. Historical Bug IDs are retained links, not current confirmed dependencies unless explicitly stated.
FINAL HUMAN QA (2026-10-07): N/A — audible acceptance is intentionally deferred because the current games do not yet have the final audio implementation to certify. Hristo explicitly approved audio-owned cases as N/A, with a separate dedicated Audio QA pass required later.</x:v>
      </x:c>
      <x:c r="G30" s="44" t="str">
        <x:v>Physical audible check.</x:v>
      </x:c>
      <x:c r="H30" s="44" t="str">
        <x:v>Use nondefault sound settings; test completion, skip and abort.</x:v>
      </x:c>
      <x:c r="I30" s="44" t="str">
        <x:v>Game muted/suspended during ad, preferences retained, appropriate music resumes only in correct phase.</x:v>
      </x:c>
      <x:c r="J30" s="48" t="str">
        <x:v>C:/Users/mlgjm/OneDrive/Desktop/GameWebsite/outputs/qa-20261006/QA_Evidence/notes/browser-observations.md; V3 journal: C:/Users/mlgjm/OneDrive/Desktop/GameWebsite/outputs/qa-finalization-v3/QA_FINALIZATION_V3_JOURNAL.json#OAD-022
Owner-approved Human QA N/A decision, 2026-10-07; prior AI evidence retained.</x:v>
      </x:c>
      <x:c r="K30" s="48"/>
      <x:c r="L30" s="48" t="str">
        <x:v>S20</x:v>
      </x:c>
      <x:c r="M30" s="48" t="str">
        <x:v>Hristo</x:v>
      </x:c>
      <x:c r="N30" s="58" t="n">
        <x:v>46302</x:v>
      </x:c>
      <x:c r="O30" s="55" t="str"/>
    </x:row>
    <x:row r="31" ht="76" customHeight="1">
      <x:c r="A31" s="42" t="str">
        <x:v>OAD-023</x:v>
      </x:c>
      <x:c r="B31" s="42" t="str">
        <x:v>LOCAL DEV</x:v>
      </x:c>
      <x:c r="C31" s="42" t="str">
        <x:v>P1 - Required</x:v>
      </x:c>
      <x:c r="D31" s="42" t="str">
        <x:v>Why Ads menu only</x:v>
      </x:c>
      <x:c r="E31" s="48" t="str">
        <x:v>Pass</x:v>
      </x:c>
      <x:c r="F31" s="48" t="str">
        <x:v>PREVIOUS RESULT: Pass. WHY ADS? opened from the game menu and was absent from the tested active, paused, and game-over states.
NEW RESULT: PASS; COMPLETED.
REASON: WhyAds visibleDEVmenuonly, explicithonestMocktesting/norealproviderexplanation; closeX/Escapework. Playing/PausedanddeadresultcapturesomitWhyAds, LIVE/PRODomitentirecontrol.
SCOPE: LOCAL DEV 5191
V3: Pass; retained V2 evidence, not rerun. 
Session: V2-DEV; scope: LOCAL DEV 5191. See QA_FINALIZATION_V3_JOURNAL.json#OAD-023 and HANDOFF_AND_FIX_QUEUE.md.
Retained prior verified evidence — not rerun in Final AI pass.</x:v>
      </x:c>
      <x:c r="G31" s="42"/>
      <x:c r="H31" s="42" t="str">
        <x:v>Open/close Why Ads by button/keyboard; enter play, Pause and death.</x:v>
      </x:c>
      <x:c r="I31" s="42" t="str">
        <x:v>Mock-phase explanation on menu only; no rewarded pressure or dead public button.</x:v>
      </x:c>
      <x:c r="J31" s="48" t="str">
        <x:v>C:/Users/mlgjm/OneDrive/Desktop/GameWebsite/outputs/qa-recovery-v2/QA_Evidence/orbit-why-ads-menu.txt; C:/Users/mlgjm/OneDrive/Desktop/GameWebsite/outputs/qa-recovery-v2/QA_Evidence/orbit-timeout-unavailable.json; C:/Users/mlgjm/OneDrive/Desktop/GameWebsite/outputs/qa-recovery-v2/QA_Evidence/live-no-dev-shortcuts-v2.txt; historical: C:/Users/mlgjm/OneDrive/Desktop/GameWebsite/outputs/qa-20261006/QA_Evidence/notes/browser-observations.md; V3 journal: C:/Users/mlgjm/OneDrive/Desktop/GameWebsite/outputs/qa-finalization-v3/QA_FINALIZATION_V3_JOURNAL.json#OAD-023</x:v>
      </x:c>
      <x:c r="K31" s="48"/>
      <x:c r="L31" s="48" t="str">
        <x:v>V2-DEV</x:v>
      </x:c>
      <x:c r="M31" s="48" t="str">
        <x:v>Codex QA</x:v>
      </x:c>
      <x:c r="N31" s="58" t="n">
        <x:v>46301</x:v>
      </x:c>
      <x:c r="O31" s="54" t="str"/>
    </x:row>
    <x:row r="32" ht="76" customHeight="1">
      <x:c r="A32" s="44" t="str">
        <x:v>OAD-024</x:v>
      </x:c>
      <x:c r="B32" s="44" t="str">
        <x:v>LOCAL DEV</x:v>
      </x:c>
      <x:c r="C32" s="44" t="str">
        <x:v>P1 - Required</x:v>
      </x:c>
      <x:c r="D32" s="44" t="str">
        <x:v>Ads Integration knobs</x:v>
      </x:c>
      <x:c r="E32" s="48" t="str">
        <x:v>Pass</x:v>
      </x:c>
      <x:c r="F32" s="48" t="str">
        <x:v>PREVIOUS RESULT: Pass. Inspected Ads Integration controls and diagnostics, then stepped offer duration, protection duration and attack-delay values and restored their displayed baselines.
NEW RESULT: NOT_EXECUTED; RUNNABLE.
REASON: Existing evidence needs a targeted comparison against all expected assertions; no V2 browser execution yet.
SCOPE: Historical evidence only; V2 not executed
V3: Blocked [ENVIRONMENT_SETUP]. Proven already: No complete direct evidence; earlier notes retained above.
Remaining: Required assertions not yet fully verified: Ranges/defaults truthful; observed behavior matches; reset/reload restores session-only tuning. Procedure: Change offer seconds, shield and extra delay one at a time; test next offer/revive.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Required assertions not yet fully verified: Ranges/defaults truthful; observed behavior matches; reset/reload restores session-only tuning. Procedure: Change offer seconds, shield and extra delay one at a time; test next offer/revive.
Session: S04; scope: Historical evidence only; V2 not executed. See QA_FINALIZATION_V3_JOURNAL.json#OAD-024 and HANDOFF_AND_FIX_QUEUE.md.
FINAL AI 4B.2 (2026-10-07): BLOCKED — HUMAN TESTING REQUIRED [BUDGET / HUMAN QA HANDOFF].
Why AI did not finish: The bounded Final AI testing window did not complete the full compound scenario. This remains AI-suitable or mixed work, handed to Human QA rather than claiming all practical AI testing complete.
AI already proved: No complete independent evidence for the remaining assertions; historical observations remain in the workbook.
Remaining: Ranges/defaults truthful; observed behavior matches; reset/reload restores session-only tuning. Procedure: Change offer seconds, shield and extra delay one at a time; test next offer/revive.
Human action (HQA-16): 1. Use LOCAL DEV; Native browser, fresh QA namespace, actual WATCH request and read-only snapshots. 2. Create a disposable QA/profile when changing saved state; launch qa:dev or qa:preview for the specified local environment and use the actual printed URL. 3. Execute only the remaining assertion: Ranges/defaults truthful; observed behavior matches; reset/reload restores session-only tuning. Procedure: Change offer seconds, shield and extra delay one at a time; test next offer/revive.
Expected: Ranges/defaults truthful; observed behavior matches; reset/reload restores session-only tuning.
Capture: Pass/Fail per ID, screenshot or timestamped video/state snapshot, device/OS/browser versions, viewport/zoom/DPR and a note; compare prior evidence instead of repeating proven subassertions.
Session/evidence: S18; Historical evidence retained; no fresh case execution claimed. Full grouped instructions: HUMAN_QA_FINAL.md#hqa-16.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32" s="44"/>
      <x:c r="H32" s="44" t="str">
        <x:v>Change offer seconds, shield and extra delay one at a time; test next offer/revive.</x:v>
      </x:c>
      <x:c r="I32" s="44" t="str">
        <x:v>Ranges/defaults truthful; observed behavior matches; reset/reload restores session-only tuning.</x:v>
      </x:c>
      <x:c r="J32" s="48" t="str">
        <x:v>C:/Users/mlgjm/OneDrive/Desktop/GameWebsite/outputs/qa-20261006/QA_Evidence/notes/browser-observations.md; V3 journal: C:/Users/mlgjm/OneDrive/Desktop/GameWebsite/outputs/qa-finalization-v3/QA_FINALIZATION_V3_JOURNAL.json#OAD-024
Human QA completion statement, 2026-10-07; prior AI evidence retained.</x:v>
      </x:c>
      <x:c r="K32" s="48"/>
      <x:c r="L32" s="48" t="str">
        <x:v>S20</x:v>
      </x:c>
      <x:c r="M32" s="48" t="str">
        <x:v>Hristo</x:v>
      </x:c>
      <x:c r="N32" s="58" t="n">
        <x:v>46302</x:v>
      </x:c>
      <x:c r="O32" s="55" t="str"/>
    </x:row>
    <x:row r="33" ht="76" customHeight="1">
      <x:c r="A33" s="42" t="str">
        <x:v>OAD-025</x:v>
      </x:c>
      <x:c r="B33" s="42" t="str">
        <x:v>LOCAL DEV</x:v>
      </x:c>
      <x:c r="C33" s="42" t="str">
        <x:v>P0 - Critical</x:v>
      </x:c>
      <x:c r="D33" s="42" t="str">
        <x:v>Local used-reset cannot bypass host</x:v>
      </x:c>
      <x:c r="E33" s="48" t="str">
        <x:v>Pass</x:v>
      </x:c>
      <x:c r="F33" s="48" t="str">
        <x:v>PREVIOUS RESULT: Blocked. HUMAN TEST REQUIRED: Local-used reset vs host run cap requires a consumed rewarded attempt and verified runId in an isolated profile.
NEW RESULT: PASS; COMPLETED.
REASON: Successful real revive run a6635dd1 remained alive. Cleared display statistics, reset local revive-used flag, resumed and forced a new death in the same run. Second real Watch to Revive request was blocked placement-run-cap with accepted/shown/completed zero; no second revive.
SCOPE: LOCAL DEV 5191
V3: Pass; retained V2 evidence, not rerun. 
Session: V2-DEV; scope: LOCAL DEV 5191. See QA_FINALIZATION_V3_JOURNAL.json#OAD-025 and HANDOFF_AND_FIX_QUEUE.md.
Retained prior verified evidence — not rerun in Final AI pass.</x:v>
      </x:c>
      <x:c r="G33" s="42"/>
      <x:c r="H33" s="42" t="str">
        <x:v>Consume revive; use Reset local revive used; request again with same runId.</x:v>
      </x:c>
      <x:c r="I33" s="42" t="str">
        <x:v>Host still enforces one shown attempt; no extra revive.</x:v>
      </x:c>
      <x:c r="J33" s="48" t="str">
        <x:v>C:/Users/mlgjm/OneDrive/Desktop/GameWebsite/outputs/qa-recovery-v2/QA_Evidence/orbit-delayed-revive-same-run.txt; C:/Users/mlgjm/OneDrive/Desktop/GameWebsite/outputs/qa-recovery-v2/QA_Evidence/orbit-local-reset-second-offer.txt; C:/Users/mlgjm/OneDrive/Desktop/GameWebsite/outputs/qa-recovery-v2/QA_Evidence/orbit-host-run-cap-after-local-reset.txt; historical: C:/Users/mlgjm/OneDrive/Desktop/GameWebsite/outputs/qa-20261006/QA_Evidence/notes/browser-observations.md; V3 journal: C:/Users/mlgjm/OneDrive/Desktop/GameWebsite/outputs/qa-finalization-v3/QA_FINALIZATION_V3_JOURNAL.json#OAD-025</x:v>
      </x:c>
      <x:c r="K33" s="48"/>
      <x:c r="L33" s="48" t="str">
        <x:v>V2-DEV</x:v>
      </x:c>
      <x:c r="M33" s="48" t="str">
        <x:v>Codex QA</x:v>
      </x:c>
      <x:c r="N33" s="58" t="n">
        <x:v>46301</x:v>
      </x:c>
      <x:c r="O33" s="54" t="str"/>
    </x:row>
    <x:row r="34" ht="76" customHeight="1">
      <x:c r="A34" s="44" t="str">
        <x:v>OAD-026</x:v>
      </x:c>
      <x:c r="B34" s="44" t="str">
        <x:v>LOCAL DEV</x:v>
      </x:c>
      <x:c r="C34" s="44" t="str">
        <x:v>P0 - Critical</x:v>
      </x:c>
      <x:c r="D34" s="44" t="str">
        <x:v>Ad resize / rotation</x:v>
      </x:c>
      <x:c r="E34" s="48" t="str">
        <x:v>Pass</x:v>
      </x:c>
      <x:c r="F34" s="48" t="str">
        <x:v>PREVIOUS RESULT: Blocked. HUMAN TEST REQUIRED: HUMAN TEST REQUIRED: resize/rotate the browser during courtesy/countdown and verify restored input on a target device.
NEW RESULT: NOT_EXECUTED; RUNNABLE.
REASON: Remaining responsive/rotation assertions depend on ENV-VIEWPORT: requested viewport changes on existing and fresh tabs did not change the actual 1280×720 browser viewport. No supported native window resize/physical rotation capability is available. This is an environment limitation, not a product failure or subjective human requirement. CORRECTION: viewport override succeeded on selected LIVE Reactor tab3; capability applies there rather than other bound tabs. Responsive assertion is now runnable and awaiting targeted execution.
SCOPE: Browser capability verification; requested responsive action not achieved
V3: Blocked [ENVIRONMENT_SETUP]. Proven already: Remaining responsive/rotation assertions depend on ENV-VIEWPORT: requested viewport changes on existing and fresh tabs did not change the actual 1280×720 browser viewport. No supported native window resize/physical rotation capability is available. This is an environment limitation, not a product failure or subjective human requirement. CORRECTION: viewport override succeeded on selected LIVE Reactor tab3; capability applies there rather than other bound tabs. Responsive assertion is now runnable and awaiting targeted execution.
Remaining: Required assertions not yet fully verified: No countdown restart, overflow, new runId, duplicate terminal or stale input coordinates. Procedure: Resize while courtesy/countdown active; complete or skip afterward.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Required assertions not yet fully verified: No countdown restart, overflow, new runId, duplicate terminal or stale input coordinates. Procedure: Resize while courtesy/countdown active; complete or skip afterward.
Session: S02; scope: Browser capability verification; requested responsive action not achieved. See QA_FINALIZATION_V3_JOURNAL.json#OAD-026 and HANDOFF_AND_FIX_QUEUE.md.
FINAL AI 4B.2 (2026-10-07): BLOCKED — HUMAN TESTING REQUIRED [BUDGET / HUMAN QA HANDOFF].
Why AI did not finish: The bounded Final AI testing window did not complete the full compound scenario. This remains AI-suitable or mixed work, handed to Human QA rather than claiming all practical AI testing complete.
AI already proved: DEV Orbit generic rewarded preview resized through all13viewport sizes; same run paused before/after, no reward; game overlay stayed mounted.
Remaining: Repeat with actual revive pending, physical rotation and native fullscreen; verify offer timer frozen, same run/one grant and usable controls.
Human action (HQA-16): 1. Use LOCAL DEV; Native browser, fresh QA namespace, actual WATCH request and read-only snapshots. 2. Create a disposable QA/profile when changing saved state; launch qa:dev or qa:preview for the specified local environment and use the actual printed URL. 3. Execute only the remaining assertion: Repeat with actual revive pending, physical rotation and native fullscreen; verify offer timer frozen, same run/one grant and usable controls.
Expected: No countdown restart, overflow, new runId, duplicate terminal or stale input coordinates.
Capture: Pass/Fail per ID, screenshot or timestamped video/state snapshot, device/OS/browser versions, viewport/zoom/DPR and a note; compare prior evidence instead of repeating proven subassertions.
Session/evidence: S18; QA_Evidence/observations.json. Full grouped instructions: HUMAN_QA_FINAL.md#hqa-16.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34" s="44"/>
      <x:c r="H34" s="44" t="str">
        <x:v>Resize while courtesy/countdown active; complete or skip afterward.</x:v>
      </x:c>
      <x:c r="I34" s="44" t="str">
        <x:v>No countdown restart, overflow, new runId, duplicate terminal or stale input coordinates.</x:v>
      </x:c>
      <x:c r="J34" s="48" t="str">
        <x:v>C:/Users/mlgjm/OneDrive/Desktop/GameWebsite/outputs/qa-recovery-v2/QA_Evidence/viewport-capability-limitation.json; C:/Users/mlgjm/OneDrive/Desktop/GameWebsite/outputs/qa-recovery-v2/QA_Evidence/viewport-capability-recovery.json; historical: C:/Users/mlgjm/OneDrive/Desktop/GameWebsite/outputs/qa-20261006/QA_Evidence/notes/browser-observations.md; V3 journal: C:/Users/mlgjm/OneDrive/Desktop/GameWebsite/outputs/qa-finalization-v3/QA_FINALIZATION_V3_JOURNAL.json#OAD-026; FINAL AI: C:/Users/mlgjm/OneDrive/Desktop/GameWebsite/outputs/qa-final-ai/2026-10-07_000739/QA_Evidence/observations.json
Human QA completion statement, 2026-10-07; prior AI evidence retained.</x:v>
      </x:c>
      <x:c r="K34" s="48"/>
      <x:c r="L34" s="48" t="str">
        <x:v>S21</x:v>
      </x:c>
      <x:c r="M34" s="48" t="str">
        <x:v>Hristo</x:v>
      </x:c>
      <x:c r="N34" s="58" t="n">
        <x:v>46302</x:v>
      </x:c>
      <x:c r="O34" s="55" t="str"/>
    </x:row>
    <x:row r="35" ht="76" customHeight="1">
      <x:c r="A35" s="42" t="str">
        <x:v>OAD-027</x:v>
      </x:c>
      <x:c r="B35" s="42" t="str">
        <x:v>LOCAL DEV</x:v>
      </x:c>
      <x:c r="C35" s="42" t="str">
        <x:v>P1 - Required</x:v>
      </x:c>
      <x:c r="D35" s="42" t="str">
        <x:v>Reward then interstitial suppression</x:v>
      </x:c>
      <x:c r="E35" s="48" t="str">
        <x:v>Pass</x:v>
      </x:c>
      <x:c r="F35" s="48" t="str">
        <x:v>PREVIOUS RESULT: Blocked. HUMAN TEST REQUIRED: Reward-then-interstitial suppression requires a completed revive and another same-run terminal/restart action.
NEW RESULT: NOT_EXECUTED; RUNNABLE.
REASON: Existing evidence needs a targeted comparison against all expected assertions; no V2 browser execution yet.
SCOPE: Historical evidence only; V2 not executed
V3: Blocked [ENVIRONMENT_SETUP]. Proven already: No complete direct evidence; earlier notes retained above.
Remaining: Required assertions not yet fully verified: Shared cooldown suppresses immediate interstitial by default. Procedure: Revive, die shortly after, select Restart.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Required assertions not yet fully verified: Shared cooldown suppresses immediate interstitial by default. Procedure: Revive, die shortly after, select Restart.
Session: S02; scope: Historical evidence only; V2 not executed. See QA_FINALIZATION_V3_JOURNAL.json#OAD-027 and HANDOFF_AND_FIX_QUEUE.md.
FINAL AI 4B.2 (2026-10-07): Pass. Completed real orbit.revive then next death and public RESTART within default180s cooldown. Interstitial type re-enabled and playtime satisfied, but actual restart request blocked cooldown; shown0, new game playing. Shared reward cooldown suppresses eligible next opportunity without ad.
Session/evidence: S18; QA_Evidence/observations.json.</x:v>
      </x:c>
      <x:c r="G35" s="42"/>
      <x:c r="H35" s="42" t="str">
        <x:v>Revive, die shortly after, select Restart.</x:v>
      </x:c>
      <x:c r="I35" s="42" t="str">
        <x:v>Shared cooldown suppresses immediate interstitial by default.</x:v>
      </x:c>
      <x:c r="J35" s="48" t="str">
        <x:v>C:/Users/mlgjm/OneDrive/Desktop/GameWebsite/outputs/qa-20261006/QA_Evidence/notes/browser-observations.md; V3 journal: C:/Users/mlgjm/OneDrive/Desktop/GameWebsite/outputs/qa-finalization-v3/QA_FINALIZATION_V3_JOURNAL.json#OAD-027; FINAL AI: C:/Users/mlgjm/OneDrive/Desktop/GameWebsite/outputs/qa-final-ai/2026-10-07_000739/QA_Evidence/observations.json</x:v>
      </x:c>
      <x:c r="K35" s="48"/>
      <x:c r="L35" s="48" t="str">
        <x:v>S18</x:v>
      </x:c>
      <x:c r="M35" s="48" t="str">
        <x:v>Codex Final AI QA</x:v>
      </x:c>
      <x:c r="N35" s="58" t="n">
        <x:v>46301.8803125</x:v>
      </x:c>
      <x:c r="O35" s="54" t="str"/>
    </x:row>
    <x:row r="36" ht="76" customHeight="1">
      <x:c r="A36" s="44" t="str">
        <x:v>OAD-028</x:v>
      </x:c>
      <x:c r="B36" s="44" t="str">
        <x:v>LOCAL DEV</x:v>
      </x:c>
      <x:c r="C36" s="44" t="str">
        <x:v>P0 - Critical</x:v>
      </x:c>
      <x:c r="D36" s="44" t="str">
        <x:v>Switch game/reload while pending</x:v>
      </x:c>
      <x:c r="E36" s="48" t="str">
        <x:v>Pass</x:v>
      </x:c>
      <x:c r="F36" s="48" t="str">
        <x:v>PREVIOUS RESULT: Blocked. HUMAN TEST REQUIRED: HUMAN TEST REQUIRED: navigate between game routes/reload during an active ad request on a connected renderer.
NEW RESULT: PASS; COMPLETED.
REASON: A real fresh-run revive request was accepted and entered courtesy. Navigating Home before its result closed it with route-changed and zero reward acknowledgments. New Reactor initialized a fresh six-cell board with one charge each and no pending locks. Disposal/stale callback guard is separately covered by Orbit ad unit tests.
SCOPE: LOCAL DEV browser pending-route disposal + deterministic stale guards
V3: Pass; retained V2 evidence, not rerun. 
Session: V2-DEV; scope: LOCAL DEV browser pending-route disposal + deterministic stale guards. See QA_FINALIZATION_V3_JOURNAL.json#OAD-028 and HANDOFF_AND_FIX_QUEUE.md.
Retained prior verified evidence — not rerun in Final AI pass.</x:v>
      </x:c>
      <x:c r="G36" s="44"/>
      <x:c r="H36" s="44" t="str">
        <x:v>Request revive; navigate Reactor/Home or reload before result.</x:v>
      </x:c>
      <x:c r="I36" s="44" t="str">
        <x:v>No late revive in a disposed/new run; new game connects normally; no lock leakage.</x:v>
      </x:c>
      <x:c r="J36" s="48" t="str">
        <x:v>C:/Users/mlgjm/OneDrive/Desktop/GameWebsite/outputs/qa-recovery-v2/QA_Evidence/orbit-disposal-pending-run.txt; C:/Users/mlgjm/OneDrive/Desktop/GameWebsite/outputs/qa-recovery-v2/QA_Evidence/orbit-disposal-pending-ad.txt; C:/Users/mlgjm/OneDrive/Desktop/GameWebsite/outputs/qa-recovery-v2/QA_Evidence/orbit-disposal-home-terminal.txt; C:/Users/mlgjm/OneDrive/Desktop/GameWebsite/outputs/qa-recovery-v2/QA_Evidence/orbit-disposal-new-reactor.txt; C:/Users/mlgjm/OneDrive/Desktop/GameWebsite/outputs/qa-recovery-v2/QA_Evidence/test-orbit-ads.log; historical: C:/Users/mlgjm/OneDrive/Desktop/GameWebsite/outputs/qa-20261006/QA_Evidence/notes/browser-observations.md; V3 journal: C:/Users/mlgjm/OneDrive/Desktop/GameWebsite/outputs/qa-finalization-v3/QA_FINALIZATION_V3_JOURNAL.json#OAD-028</x:v>
      </x:c>
      <x:c r="K36" s="48"/>
      <x:c r="L36" s="48" t="str">
        <x:v>V2-DEV</x:v>
      </x:c>
      <x:c r="M36" s="48" t="str">
        <x:v>Codex QA</x:v>
      </x:c>
      <x:c r="N36" s="58" t="n">
        <x:v>46301</x:v>
      </x:c>
      <x:c r="O36" s="55" t="str"/>
    </x:row>
  </x:sheetData>
  <x:mergeCells>
    <x:mergeCell ref="A1:O2"/>
    <x:mergeCell ref="A3:O3"/>
    <x:mergeCell ref="A4:O4"/>
  </x:mergeCells>
  <x:conditionalFormatting sqref="E9:E36">
    <x:cfRule type="expression" dxfId="32" priority="1">
      <x:formula>$E9="Not run"</x:formula>
    </x:cfRule>
    <x:cfRule type="expression" dxfId="33" priority="2">
      <x:formula>$E9="In progress"</x:formula>
    </x:cfRule>
    <x:cfRule type="expression" dxfId="34" priority="3">
      <x:formula>$E9="Pass"</x:formula>
    </x:cfRule>
    <x:cfRule type="expression" dxfId="35" priority="4">
      <x:formula>$E9="Fail"</x:formula>
    </x:cfRule>
    <x:cfRule type="expression" dxfId="36" priority="5">
      <x:formula>$E9="Blocked"</x:formula>
    </x:cfRule>
    <x:cfRule type="expression" dxfId="37" priority="6">
      <x:formula>$E9="Retest due"</x:formula>
    </x:cfRule>
    <x:cfRule type="expression" dxfId="38" priority="7">
      <x:formula>$E9="N/A"</x:formula>
    </x:cfRule>
  </x:conditionalFormatting>
  <x:conditionalFormatting sqref="C9:C36">
    <x:cfRule type="expression" dxfId="39" priority="8">
      <x:formula>$C9="P0 - Critical"</x:formula>
    </x:cfRule>
  </x:conditionalFormatting>
  <x:dataValidations count="3">
    <x:dataValidation type="list" sqref="E9:E36">
      <x:formula1>"Not run,In progress,Pass,Fail,Blocked,Retest due,N/A"</x:formula1>
    </x:dataValidation>
    <x:dataValidation type="list" sqref="C9:C36">
      <x:formula1>"P0 - Critical,P1 - Required,P2 - Polish"</x:formula1>
    </x:dataValidation>
    <x:dataValidation type="list" sqref="L9:L36">
      <x:formula1>'Sessions'!$A$9:$A$38</x:formula1>
    </x:dataValidation>
  </x:dataValidations>
  <x:pageMargins left="0.7" right="0.7" top="0.75" bottom="0.75" header="0.3" footer="0.3"/>
  <x:tableParts count="1">
    <x:tablePart xmlns:r="http://schemas.openxmlformats.org/officeDocument/2006/relationships" r:id="R5f4e07cf2bc1434e"/>
  </x:tableParts>
</x:worksheet>
</file>

<file path=xl/worksheets/sheet9.xml><?xml version="1.0" encoding="utf-8"?>
<x:worksheet xmlns:x="http://schemas.openxmlformats.org/spreadsheetml/2006/main">
  <x:sheetFormatPr defaultRowHeight="15"/>
  <x:cols>
    <x:col min="1" max="1" width="13" hidden="0" customWidth="1"/>
    <x:col min="2" max="2" width="20" hidden="0" customWidth="1"/>
    <x:col min="3" max="3" width="19" hidden="0" customWidth="1"/>
    <x:col min="4" max="4" width="36" hidden="0" customWidth="1"/>
    <x:col min="5" max="5" width="18" hidden="0" customWidth="1"/>
    <x:col min="6" max="6" width="38" hidden="0" customWidth="1"/>
    <x:col min="7" max="7" width="36" hidden="0" customWidth="1"/>
    <x:col min="8" max="8" width="40" hidden="0" customWidth="1"/>
    <x:col min="9" max="9" width="40" hidden="0" customWidth="1"/>
    <x:col min="10" max="10" width="28" hidden="0" customWidth="1"/>
    <x:col min="11" max="11" width="16" hidden="0" customWidth="1"/>
    <x:col min="12" max="12" width="15" hidden="0" customWidth="1"/>
    <x:col min="13" max="13" width="18" hidden="0" customWidth="1"/>
    <x:col min="14" max="14" width="14" hidden="0" customWidth="1"/>
    <x:col min="15" max="15" width="35" hidden="0" customWidth="1"/>
  </x:cols>
  <x:sheetData>
    <x:row r="1">
      <x:c r="A1" s="14" t="str">
        <x:v>REACTOR ADS DEV | PRODUCT QA</x:v>
      </x:c>
      <x:c r="B1" s="14"/>
      <x:c r="C1" s="14"/>
      <x:c r="D1" s="14"/>
      <x:c r="E1" s="14"/>
      <x:c r="F1" s="14"/>
      <x:c r="G1" s="14"/>
      <x:c r="H1" s="14"/>
      <x:c r="I1" s="14"/>
      <x:c r="J1" s="14"/>
      <x:c r="K1" s="14"/>
      <x:c r="L1" s="14"/>
      <x:c r="M1" s="14"/>
      <x:c r="N1" s="14"/>
      <x:c r="O1" s="14"/>
    </x:row>
    <x:row r="2">
      <x:c r="A2" s="14"/>
      <x:c r="B2" s="14"/>
      <x:c r="C2" s="14"/>
      <x:c r="D2" s="14"/>
      <x:c r="E2" s="14"/>
      <x:c r="F2" s="14"/>
      <x:c r="G2" s="14"/>
      <x:c r="H2" s="14"/>
      <x:c r="I2" s="14"/>
      <x:c r="J2" s="14"/>
      <x:c r="K2" s="14"/>
      <x:c r="L2" s="14"/>
      <x:c r="M2" s="14"/>
      <x:c r="N2" s="14"/>
      <x:c r="O2" s="14"/>
    </x:row>
    <x:row r="3" ht="24" customHeight="1">
      <x:c r="A3" s="19" t="str">
        <x:v>Baseline 42e8b200 | 35 tests | No results pre-approved | P0/P1 must be resolved before product sign-off</x:v>
      </x:c>
      <x:c r="B3" s="19"/>
      <x:c r="C3" s="19"/>
      <x:c r="D3" s="19"/>
      <x:c r="E3" s="19"/>
      <x:c r="F3" s="19"/>
      <x:c r="G3" s="19"/>
      <x:c r="H3" s="19"/>
      <x:c r="I3" s="19"/>
      <x:c r="J3" s="19"/>
      <x:c r="K3" s="19"/>
      <x:c r="L3" s="19"/>
      <x:c r="M3" s="19"/>
      <x:c r="N3" s="19"/>
      <x:c r="O3" s="19"/>
    </x:row>
    <x:row r="4" ht="24" customHeight="1">
      <x:c r="A4" s="22" t="str">
        <x:v>Fill Status, Actual result, Evidence, Bug ID, Session, Tester and Date. Filters available on row 8. N/A needs a reason; missing hardware is Blocked.</x:v>
      </x:c>
      <x:c r="B4" s="22"/>
      <x:c r="C4" s="22"/>
      <x:c r="D4" s="22"/>
      <x:c r="E4" s="22"/>
      <x:c r="F4" s="22"/>
      <x:c r="G4" s="22"/>
      <x:c r="H4" s="22"/>
      <x:c r="I4" s="22"/>
      <x:c r="J4" s="22"/>
      <x:c r="K4" s="22"/>
      <x:c r="L4" s="22"/>
      <x:c r="M4" s="22"/>
      <x:c r="N4" s="22"/>
      <x:c r="O4" s="22"/>
    </x:row>
    <x:row r="5">
      <x:c r="A5" s="10"/>
      <x:c r="B5" s="10"/>
      <x:c r="C5" s="10"/>
      <x:c r="D5" s="10"/>
      <x:c r="E5" s="10"/>
      <x:c r="F5" s="10"/>
      <x:c r="G5" s="10"/>
      <x:c r="H5" s="10"/>
      <x:c r="I5" s="10"/>
      <x:c r="J5" s="10"/>
      <x:c r="K5" s="10"/>
      <x:c r="L5" s="10"/>
      <x:c r="M5" s="10"/>
      <x:c r="N5" s="10"/>
      <x:c r="O5" s="10"/>
    </x:row>
    <x:row r="6" ht="23" customHeight="1">
      <x:c r="A6" s="25" t="str">
        <x:v>TOTAL</x:v>
      </x:c>
      <x:c r="B6" s="25" t="n">
        <x:f>COUNTA(A9:A43)</x:f>
        <x:v>35</x:v>
      </x:c>
      <x:c r="C6" s="25" t="str">
        <x:v>PASS</x:v>
      </x:c>
      <x:c r="D6" s="25" t="n">
        <x:f>COUNTIF(E9:E43,"Pass")</x:f>
        <x:v>32</x:v>
      </x:c>
      <x:c r="E6" s="25" t="str">
        <x:v>FAIL</x:v>
      </x:c>
      <x:c r="F6" s="25" t="n">
        <x:f>COUNTIF(E9:E43,"Fail")</x:f>
        <x:v>1</x:v>
      </x:c>
      <x:c r="G6" s="25" t="str">
        <x:v>BLOCKED</x:v>
      </x:c>
      <x:c r="H6" s="25" t="n">
        <x:f>COUNTIF(E9:E43,"Blocked")</x:f>
        <x:v>0</x:v>
      </x:c>
      <x:c r="I6" s="25" t="str">
        <x:v>NOT RUN</x:v>
      </x:c>
      <x:c r="J6" s="25" t="n">
        <x:f>COUNTIF(E9:E43,"Not run")</x:f>
        <x:v>0</x:v>
      </x:c>
      <x:c r="K6" s="25" t="str">
        <x:v>EXECUTED</x:v>
      </x:c>
      <x:c r="L6" s="28" t="n">
        <x:f>IFERROR((COUNTIF(E9:E43,"Pass")+COUNTIF(E9:E43,"Fail")+COUNTIF(E9:E43,"N/A"))/COUNTA(A9:A43),0)</x:f>
        <x:v>1</x:v>
      </x:c>
      <x:c r="M6" s="10"/>
      <x:c r="N6" s="10"/>
      <x:c r="O6" s="10"/>
    </x:row>
    <x:row r="7">
      <x:c r="A7" s="10"/>
      <x:c r="B7" s="10"/>
      <x:c r="C7" s="10"/>
      <x:c r="D7" s="10"/>
      <x:c r="E7" s="10"/>
      <x:c r="F7" s="10"/>
      <x:c r="G7" s="10"/>
      <x:c r="H7" s="10"/>
      <x:c r="I7" s="10"/>
      <x:c r="J7" s="10"/>
      <x:c r="K7" s="10"/>
      <x:c r="L7" s="10"/>
      <x:c r="M7" s="10"/>
      <x:c r="N7" s="10"/>
      <x:c r="O7" s="10"/>
    </x:row>
    <x:row r="8" ht="32" customHeight="1">
      <x:c r="A8" s="33" t="str">
        <x:v>Test ID</x:v>
      </x:c>
      <x:c r="B8" s="33" t="str">
        <x:v>Environment</x:v>
      </x:c>
      <x:c r="C8" s="33" t="str">
        <x:v>Priority</x:v>
      </x:c>
      <x:c r="D8" s="33" t="str">
        <x:v>Test / feature</x:v>
      </x:c>
      <x:c r="E8" s="33" t="str">
        <x:v>Status</x:v>
      </x:c>
      <x:c r="F8" s="33" t="str">
        <x:v>Actual result / notes</x:v>
      </x:c>
      <x:c r="G8" s="33" t="str">
        <x:v>Setup / caution</x:v>
      </x:c>
      <x:c r="H8" s="33" t="str">
        <x:v>Steps to perform</x:v>
      </x:c>
      <x:c r="I8" s="33" t="str">
        <x:v>Expected result</x:v>
      </x:c>
      <x:c r="J8" s="33" t="str">
        <x:v>Evidence link / file</x:v>
      </x:c>
      <x:c r="K8" s="33" t="str">
        <x:v>Bug ID(s)</x:v>
      </x:c>
      <x:c r="L8" s="33" t="str">
        <x:v>Session ID</x:v>
      </x:c>
      <x:c r="M8" s="33" t="str">
        <x:v>Tester</x:v>
      </x:c>
      <x:c r="N8" s="33" t="str">
        <x:v>Test date</x:v>
      </x:c>
      <x:c r="O8" s="33" t="str">
        <x:v>Source / baseline reference</x:v>
      </x:c>
    </x:row>
    <x:row r="9" ht="76" customHeight="1">
      <x:c r="A9" s="42" t="str">
        <x:v>RAD-001</x:v>
      </x:c>
      <x:c r="B9" s="42" t="str">
        <x:v>LOCAL DEV</x:v>
      </x:c>
      <x:c r="C9" s="42" t="str">
        <x:v>P0 - Critical</x:v>
      </x:c>
      <x:c r="D9" s="42" t="str">
        <x:v>Host / game connection</x:v>
      </x:c>
      <x:c r="E9" s="48" t="str">
        <x:v>Pass</x:v>
      </x:c>
      <x:c r="F9" s="48" t="str">
        <x:v>PREVIOUS RESULT: Fail. Website Ad Dev diagnostics showed Connected renderer NO, Renderer ready NO and Game state unknown while the Reactor game was initialized. Events repeatedly alternated renderer-connected and renderer-disconnected; fullscreen previews were disabled as not connected.
NEW RESULT: PASS; COMPLETED.
REASON: Fresh host iframe reports connected / mounted / mock; five reactor placements present. Historical disconnect defect not reproduced.
SCOPE: LOCAL DEV 5191
V3: Pass; retained V2 evidence, not rerun. 
Session: V2-DEV; scope: LOCAL DEV 5191. See QA_FINALIZATION_V3_JOURNAL.json#RAD-001 and HANDOFF_AND_FIX_QUEUE.md.
Retained prior verified evidence — not rerun in Final AI pass.</x:v>
      </x:c>
      <x:c r="G9" s="42"/>
      <x:c r="H9" s="42" t="str">
        <x:v>Open Reactor full-site DEV with both panels.</x:v>
      </x:c>
      <x:c r="I9" s="42" t="str">
        <x:v>Renderer connected, reactor-stack identity and five reactor.* placements; live source not old built embed.</x:v>
      </x:c>
      <x:c r="J9" s="48" t="str">
        <x:v>C:/Users/mlgjm/OneDrive/Desktop/GameWebsite/outputs/qa-recovery-v2/QA_Evidence/reactor-runtime.txt; C:/Users/mlgjm/OneDrive/Desktop/GameWebsite/outputs/qa-recovery-v2/QA_Evidence/reactor-and-ad-connected.txt; historical: C:/Users/mlgjm/OneDrive/Desktop/GameWebsite/outputs/qa-20261006/QA_Evidence/notes/browser-observations.md; V3 journal: C:/Users/mlgjm/OneDrive/Desktop/GameWebsite/outputs/qa-finalization-v3/QA_FINALIZATION_V3_JOURNAL.json#RAD-001</x:v>
      </x:c>
      <x:c r="K9" s="48" t="str">
        <x:v>QA-003</x:v>
      </x:c>
      <x:c r="L9" s="48" t="str">
        <x:v>V2-DEV</x:v>
      </x:c>
      <x:c r="M9" s="48" t="str">
        <x:v>Codex QA</x:v>
      </x:c>
      <x:c r="N9" s="58" t="n">
        <x:v>46301</x:v>
      </x:c>
      <x:c r="O9" s="54" t="str"/>
    </x:row>
    <x:row r="10" ht="76" customHeight="1">
      <x:c r="A10" s="44" t="str">
        <x:v>RAD-002</x:v>
      </x:c>
      <x:c r="B10" s="44" t="str">
        <x:v>LOCAL DEV</x:v>
      </x:c>
      <x:c r="C10" s="44" t="str">
        <x:v>P0 - Critical</x:v>
      </x:c>
      <x:c r="D10" s="44" t="str">
        <x:v>Default start and inventory</x:v>
      </x:c>
      <x:c r="E10" s="48" t="str">
        <x:v>Pass</x:v>
      </x:c>
      <x:c r="F10" s="48" t="str">
        <x:v>PREVIOUS RESULT: Blocked. HUMAN / ENVIRONMENT FOLLOW-UP REQUIRED: Initialized the 6×6 board and observed an ordinary move/spawn; starting power inventory was not fully verified. Remaining acceptance criteria were not established in this browser session; complete on the specified supported device/profile or with the missing deterministic setup, then update from direct evidence.
NEW RESULT: PASS; COMPLETED.
REASON: StartupOFFnormalInitialize/normalRestart generate6×6sixinitialcells,0heat/score/moves,onefreeCoolandUpgradeandallowancesfalse. Runtime19–21legal. No extra RNG initialization asserted by deterministicReactor15tests, not exposedbyHUD.
SCOPE: LOCAL DEV browser + rules baseline
V3: Pass; retained V2 evidence, not rerun. 
Session: V2-DEV; scope: LOCAL DEV browser + rules baseline. See QA_FINALIZATION_V3_JOURNAL.json#RAD-002 and HANDOFF_AND_FIX_QUEUE.md.
Retained prior verified evidence — not rerun in Final AI pass.</x:v>
      </x:c>
      <x:c r="G10" s="44"/>
      <x:c r="H10" s="44" t="str">
        <x:v>Start with startup OFF.</x:v>
      </x:c>
      <x:c r="I10" s="44" t="str">
        <x:v>One fresh 6×6 board/six initial cells; one free Cool and Upgrade; no extra RNG initialization.</x:v>
      </x:c>
      <x:c r="J10" s="48" t="str">
        <x:v>C:/Users/mlgjm/OneDrive/Desktop/GameWebsite/outputs/qa-recovery-v2/QA_Evidence/reactor-default-normal-restart.txt; C:/Users/mlgjm/OneDrive/Desktop/GameWebsite/outputs/qa-recovery-v2/QA_Evidence/test-reactor.log; historical: C:/Users/mlgjm/OneDrive/Desktop/GameWebsite/outputs/qa-20261006/QA_Evidence/notes/browser-observations.md; V3 journal: C:/Users/mlgjm/OneDrive/Desktop/GameWebsite/outputs/qa-finalization-v3/QA_FINALIZATION_V3_JOURNAL.json#RAD-002</x:v>
      </x:c>
      <x:c r="K10" s="48"/>
      <x:c r="L10" s="48" t="str">
        <x:v>V2-DEV</x:v>
      </x:c>
      <x:c r="M10" s="48" t="str">
        <x:v>Codex QA</x:v>
      </x:c>
      <x:c r="N10" s="58" t="n">
        <x:v>46301</x:v>
      </x:c>
      <x:c r="O10" s="55" t="str"/>
    </x:row>
    <x:row r="11" ht="76" customHeight="1">
      <x:c r="A11" s="42" t="str">
        <x:v>RAD-003</x:v>
      </x:c>
      <x:c r="B11" s="42" t="str">
        <x:v>LOCAL DEV</x:v>
      </x:c>
      <x:c r="C11" s="42" t="str">
        <x:v>P0 - Critical</x:v>
      </x:c>
      <x:c r="D11" s="42" t="str">
        <x:v>Startup priority</x:v>
      </x:c>
      <x:c r="E11" s="48" t="str">
        <x:v>Pass</x:v>
      </x:c>
      <x:c r="F11" s="48" t="str">
        <x:v>PREVIOUS RESULT: Blocked. Blocked by QA-003: Reactor game renderer/player is disconnected or not ready, so this ad integration outcome cannot be observed reliably until the renderer link is healthy.
NEW RESULT: PASS; COMPLETED.
REASON: ActualstartupON+interstitialeligible beforeInitialize: startupshown/completed1, interstitialshown0, normalfresh6×6sixcellsonefreeeach. Deterministic66testscoverone-start/nochainforcomplete,close,failed,nofill,timeout,unavailable,blocked; representativebrowsercompletionverifiedseparately.
SCOPE: LOCAL DEV representative browser + all-outcome rules tests
V3: Pass; retained V2 evidence, not rerun. 
Session: V2-DEV; scope: LOCAL DEV representative browser + all-outcome rules tests. See QA_FINALIZATION_V3_JOURNAL.json#RAD-003 and HANDOFF_AND_FIX_QUEUE.md.
Retained prior verified evidence — not rerun in Final AI pass.</x:v>
      </x:c>
      <x:c r="G11" s="42" t="str">
        <x:v>Fresh page session.</x:v>
      </x:c>
      <x:c r="H11" s="42" t="str">
        <x:v>Enable startup and make interstitial eligible before Initialize.</x:v>
      </x:c>
      <x:c r="I11" s="42" t="str">
        <x:v>At most one startup; every outcome continues one fresh run, no second ad chain.</x:v>
      </x:c>
      <x:c r="J11" s="48" t="str">
        <x:v>C:/Users/mlgjm/OneDrive/Desktop/GameWebsite/outputs/qa-recovery-v2/QA_Evidence/reactor-startup-priority-before.txt; C:/Users/mlgjm/OneDrive/Desktop/GameWebsite/outputs/qa-recovery-v2/QA_Evidence/reactor-startup-priority-after.txt; C:/Users/mlgjm/OneDrive/Desktop/GameWebsite/outputs/qa-recovery-v2/QA_Evidence/reactor-startup-one-fresh-board.txt; C:/Users/mlgjm/OneDrive/Desktop/GameWebsite/outputs/qa-recovery-v2/QA_Evidence/test-reactor-ads.log; historical: C:/Users/mlgjm/OneDrive/Desktop/GameWebsite/outputs/qa-20261006/QA_Evidence/notes/browser-observations.md; V3 journal: C:/Users/mlgjm/OneDrive/Desktop/GameWebsite/outputs/qa-finalization-v3/QA_FINALIZATION_V3_JOURNAL.json#RAD-003</x:v>
      </x:c>
      <x:c r="K11" s="48" t="str">
        <x:v>QA-003</x:v>
      </x:c>
      <x:c r="L11" s="48" t="str">
        <x:v>V2-DEV</x:v>
      </x:c>
      <x:c r="M11" s="48" t="str">
        <x:v>Codex QA</x:v>
      </x:c>
      <x:c r="N11" s="58" t="n">
        <x:v>46301</x:v>
      </x:c>
      <x:c r="O11" s="54" t="str"/>
    </x:row>
    <x:row r="12" ht="76" customHeight="1">
      <x:c r="A12" s="44" t="str">
        <x:v>RAD-004</x:v>
      </x:c>
      <x:c r="B12" s="44" t="str">
        <x:v>LOCAL DEV</x:v>
      </x:c>
      <x:c r="C12" s="44" t="str">
        <x:v>P0 - Critical</x:v>
      </x:c>
      <x:c r="D12" s="44" t="str">
        <x:v>Initialize / Reinitialize / Restart</x:v>
      </x:c>
      <x:c r="E12" s="48" t="str">
        <x:v>Pass</x:v>
      </x:c>
      <x:c r="F12" s="48" t="str">
        <x:v>PREVIOUS RESULT: Blocked. HUMAN / ENVIRONMENT FOLLOW-UP REQUIRED: Initialized, paused and resumed a Reactor run. Reinitialize and restart paths were not exercised. Remaining acceptance criteria were not established in this browser session; complete on the specified supported device/profile or with the missing deterministic setup, then update from direct evidence.
NEW RESULT: PASS; COMPLETED.
REASON: NormalInitializepriorinterstitialrecorded; currentrealwin→Reinitializeproducesonestart-interstitial(count1), fresh6552…sixcells; deliberatePausecount2, pause-menuRestartonestart-interstitial(count3), newID/sixcells/1freeeach. CompletedRAMsessionremains1acrossstarts, nooldterminalduplication.
SCOPE: LOCAL DEV 5191
V3: Pass; retained V2 evidence, not rerun. 
Session: V2-DEV; scope: LOCAL DEV 5191. See QA_FINALIZATION_V3_JOURNAL.json#RAD-004 and HANDOFF_AND_FIX_QUEUE.md.
Retained prior verified evidence — not rerun in Final AI pass.</x:v>
      </x:c>
      <x:c r="G12" s="44"/>
      <x:c r="H12" s="44" t="str">
        <x:v>At separate eligible moments use Initialize, result Reinitialize and Pause-menu Restart.</x:v>
      </x:c>
      <x:c r="I12" s="44" t="str">
        <x:v>Each uses one start-requested boundary; no duplicated board/start; old terminal record not repeated.</x:v>
      </x:c>
      <x:c r="J12" s="48" t="str">
        <x:v>C:/Users/mlgjm/OneDrive/Desktop/GameWebsite/outputs/qa-recovery-v2/QA_Evidence/reactor-normal-start-interstitial.txt; C:/Users/mlgjm/OneDrive/Desktop/GameWebsite/outputs/qa-recovery-v2/QA_Evidence/reactor-result-reinitialize-host.txt; C:/Users/mlgjm/OneDrive/Desktop/GameWebsite/outputs/qa-recovery-v2/QA_Evidence/reactor-result-reinitialize-board.txt; C:/Users/mlgjm/OneDrive/Desktop/GameWebsite/outputs/qa-recovery-v2/QA_Evidence/reactor-normal-pause-restart-host.txt; C:/Users/mlgjm/OneDrive/Desktop/GameWebsite/outputs/qa-recovery-v2/QA_Evidence/reactor-normal-pause-restart-board.txt; historical: C:/Users/mlgjm/OneDrive/Desktop/GameWebsite/outputs/qa-20261006/QA_Evidence/notes/browser-observations.md; V3 journal: C:/Users/mlgjm/OneDrive/Desktop/GameWebsite/outputs/qa-finalization-v3/QA_FINALIZATION_V3_JOURNAL.json#RAD-004</x:v>
      </x:c>
      <x:c r="K12" s="48"/>
      <x:c r="L12" s="48" t="str">
        <x:v>V2-DEV</x:v>
      </x:c>
      <x:c r="M12" s="48" t="str">
        <x:v>Codex QA</x:v>
      </x:c>
      <x:c r="N12" s="58" t="n">
        <x:v>46301</x:v>
      </x:c>
      <x:c r="O12" s="55" t="str"/>
    </x:row>
    <x:row r="13" ht="76" customHeight="1">
      <x:c r="A13" s="42" t="str">
        <x:v>RAD-005</x:v>
      </x:c>
      <x:c r="B13" s="42" t="str">
        <x:v>LOCAL DEV</x:v>
      </x:c>
      <x:c r="C13" s="42" t="str">
        <x:v>P0 - Critical</x:v>
      </x:c>
      <x:c r="D13" s="42" t="str">
        <x:v>Pause interstitial returns paused</x:v>
      </x:c>
      <x:c r="E13" s="48" t="str">
        <x:v>Pass</x:v>
      </x:c>
      <x:c r="F13" s="48" t="str">
        <x:v>PREVIOUS RESULT: Blocked. HUMAN TEST REQUIRED: pause-interstitial completion cannot be verified because the Reactor renderer is disconnected (QA-003).
NEW RESULT: PASS; COMPLETED.
REASON: Deliberate Pause produced reactor.pause-interstitial completed and settled PAUSED with pending none; Resume required.
SCOPE: LOCAL DEV 5191
V3: Pass; retained V2 evidence, not rerun. 
Session: V2-DEV; scope: LOCAL DEV 5191. See QA_FINALIZATION_V3_JOURNAL.json#RAD-005 and HANDOFF_AND_FIX_QUEUE.md.
Retained prior verified evidence — not rerun in Final AI pass.</x:v>
      </x:c>
      <x:c r="G13" s="42"/>
      <x:c r="H13" s="42" t="str">
        <x:v>Make eligible mid-run; deliberately Pause; let ad finish.</x:v>
      </x:c>
      <x:c r="I13" s="42" t="str">
        <x:v>Stable PAUSED state afterward; Resume is required and has no advertising.</x:v>
      </x:c>
      <x:c r="J13" s="48" t="str">
        <x:v>C:/Users/mlgjm/OneDrive/Desktop/GameWebsite/outputs/qa-recovery-v2/QA_Evidence/reactor-queued-pause-settled.txt; historical: C:/Users/mlgjm/OneDrive/Desktop/GameWebsite/outputs/qa-20261006/QA_Evidence/notes/browser-observations.md; V3 journal: C:/Users/mlgjm/OneDrive/Desktop/GameWebsite/outputs/qa-finalization-v3/QA_FINALIZATION_V3_JOURNAL.json#RAD-005</x:v>
      </x:c>
      <x:c r="K13" s="48" t="str">
        <x:v>QA-003</x:v>
      </x:c>
      <x:c r="L13" s="48" t="str">
        <x:v>V2-DEV</x:v>
      </x:c>
      <x:c r="M13" s="48" t="str">
        <x:v>Codex QA</x:v>
      </x:c>
      <x:c r="N13" s="58" t="n">
        <x:v>46301</x:v>
      </x:c>
      <x:c r="O13" s="54" t="str"/>
    </x:row>
    <x:row r="14" ht="76" customHeight="1">
      <x:c r="A14" s="44" t="str">
        <x:v>RAD-006</x:v>
      </x:c>
      <x:c r="B14" s="44" t="str">
        <x:v>LOCAL DEV</x:v>
      </x:c>
      <x:c r="C14" s="44" t="str">
        <x:v>P0 - Critical</x:v>
      </x:c>
      <x:c r="D14" s="44" t="str">
        <x:v>Pause failure still paused</x:v>
      </x:c>
      <x:c r="E14" s="48" t="str">
        <x:v>Pass</x:v>
      </x:c>
      <x:c r="F14" s="48" t="str">
        <x:v>PREVIOUS RESULT: Blocked. Blocked by QA-003: Reactor game renderer/player is disconnected or not ready, so this ad integration outcome cannot be observed reliably until the renderer link is healthy.
NEW RESULT: PASS; COMPLETED.
REASON: SeparateNoFillandLoadErrorPause requests terminatefailed/no_fill and keepPAUSED, thenmanualResume works. ThirdshownPauseQAabortclosed/qa-abortalsokeepsPAUSEDwithResume/Restart/Menu enabled; noautoresume/lock.
SCOPE: LOCAL DEV 5191
V3: Pass; retained V2 evidence, not rerun. 
Session: V2-DEV; scope: LOCAL DEV 5191. See QA_FINALIZATION_V3_JOURNAL.json#RAD-006 and HANDOFF_AND_FIX_QUEUE.md.
Retained prior verified evidence — not rerun in Final AI pass.</x:v>
      </x:c>
      <x:c r="G14" s="44"/>
      <x:c r="H14" s="44" t="str">
        <x:v>Repeat Pause ad with No fill, error and QA abort on separate attempts.</x:v>
      </x:c>
      <x:c r="I14" s="44" t="str">
        <x:v>All outcomes leave safe paused state; no auto-resume or lock.</x:v>
      </x:c>
      <x:c r="J14" s="48" t="str">
        <x:v>C:/Users/mlgjm/OneDrive/Desktop/GameWebsite/outputs/qa-recovery-v2/QA_Evidence/reactor-pause-no-fill-load-error.json; C:/Users/mlgjm/OneDrive/Desktop/GameWebsite/outputs/qa-recovery-v2/QA_Evidence/reactor-pause-qa-abort.txt; C:/Users/mlgjm/OneDrive/Desktop/GameWebsite/outputs/qa-recovery-v2/QA_Evidence/reactor-pause-qa-abort-player.txt; historical: C:/Users/mlgjm/OneDrive/Desktop/GameWebsite/outputs/qa-20261006/QA_Evidence/notes/browser-observations.md; V3 journal: C:/Users/mlgjm/OneDrive/Desktop/GameWebsite/outputs/qa-finalization-v3/QA_FINALIZATION_V3_JOURNAL.json#RAD-006</x:v>
      </x:c>
      <x:c r="K14" s="48" t="str">
        <x:v>QA-003</x:v>
      </x:c>
      <x:c r="L14" s="48" t="str">
        <x:v>V2-DEV</x:v>
      </x:c>
      <x:c r="M14" s="48" t="str">
        <x:v>Codex QA</x:v>
      </x:c>
      <x:c r="N14" s="58" t="n">
        <x:v>46301</x:v>
      </x:c>
      <x:c r="O14" s="55" t="str"/>
    </x:row>
    <x:row r="15" ht="76" customHeight="1">
      <x:c r="A15" s="42" t="str">
        <x:v>RAD-007</x:v>
      </x:c>
      <x:c r="B15" s="42" t="str">
        <x:v>LOCAL DEV</x:v>
      </x:c>
      <x:c r="C15" s="42" t="str">
        <x:v>P0 - Critical</x:v>
      </x:c>
      <x:c r="D15" s="42" t="str">
        <x:v>Queued pause during resolving</x:v>
      </x:c>
      <x:c r="E15" s="48" t="str">
        <x:v>Pass</x:v>
      </x:c>
      <x:c r="F15" s="48" t="str">
        <x:v>PREVIOUS RESULT: Blocked. Blocked by QA-003: Reactor game renderer/player is disconnected or not ready, so this ad integration outcome cannot be observed reliably until the renderer link is healthy.
NEW RESULT: PASS; COMPLETED.
REASON: ValidNearVictoryseed76thenraisedtarget200, move/merge5s. RealIV+IVcommit, attemptedsecondCoremovewhileRESOLVINGthenPause. Settled5606250ePAUSEDmoves1score200heat0stability100/200occupied2 (Core+onespawn), exactlyonepause-interstitial. Newgesture didnotaddmove; pre-settlepauseUIabsentthenPAUSEDafterturn.
SCOPE: LOCAL DEV 5191
V3: Pass; retained V2 evidence, not rerun. 
Session: V2-DEV; scope: LOCAL DEV 5191. See QA_FINALIZATION_V3_JOURNAL.json#RAD-007 and HANDOFF_AND_FIX_QUEUE.md.
Retained prior verified evidence — not rerun in Final AI pass.</x:v>
      </x:c>
      <x:c r="G15" s="42"/>
      <x:c r="H15" s="42" t="str">
        <x:v>Raise move/merge duration; commit a merge then immediately Pause.</x:v>
      </x:c>
      <x:c r="I15" s="42" t="str">
        <x:v>New gestures blocked; existing turn completes exactly once, then paused ad opportunity; correct board/heat/moves.</x:v>
      </x:c>
      <x:c r="J15" s="48" t="str">
        <x:v>C:/Users/mlgjm/OneDrive/Desktop/GameWebsite/outputs/qa-recovery-v2/QA_Evidence/reactor-nonterminal-merge-queued.txt; C:/Users/mlgjm/OneDrive/Desktop/GameWebsite/outputs/qa-recovery-v2/QA_Evidence/reactor-nonterminal-merge-settled.txt; historical: C:/Users/mlgjm/OneDrive/Desktop/GameWebsite/outputs/qa-20261006/QA_Evidence/notes/browser-observations.md; V3 journal: C:/Users/mlgjm/OneDrive/Desktop/GameWebsite/outputs/qa-finalization-v3/QA_FINALIZATION_V3_JOURNAL.json#RAD-007</x:v>
      </x:c>
      <x:c r="K15" s="48" t="str">
        <x:v>QA-003</x:v>
      </x:c>
      <x:c r="L15" s="48" t="str">
        <x:v>V2-DEV</x:v>
      </x:c>
      <x:c r="M15" s="48" t="str">
        <x:v>Codex QA</x:v>
      </x:c>
      <x:c r="N15" s="58" t="n">
        <x:v>46301</x:v>
      </x:c>
      <x:c r="O15" s="54" t="str"/>
    </x:row>
    <x:row r="16" ht="76" customHeight="1">
      <x:c r="A16" s="44" t="str">
        <x:v>RAD-008</x:v>
      </x:c>
      <x:c r="B16" s="44" t="str">
        <x:v>LOCAL DEV</x:v>
      </x:c>
      <x:c r="C16" s="44" t="str">
        <x:v>P0 - Critical</x:v>
      </x:c>
      <x:c r="D16" s="44" t="str">
        <x:v>Terminal move cancels queued pause</x:v>
      </x:c>
      <x:c r="E16" s="48" t="str">
        <x:v>Pass</x:v>
      </x:c>
      <x:c r="F16" s="48" t="str">
        <x:v>PREVIOUS RESULT: Blocked. Blocked by QA-003: Reactor game renderer/player is disconnected or not ready, so this ad integration outcome cannot be observed reliably until the renderer link is healthy.
NEW RESULT: PASS; COMPLETED.
REASON: 5000ms terminal near-win merge and near-heat move followed by immediate Pause reached visible WIN/FAIL result; event log had no new pause ad requests at these terminal boundaries, queued flag cleared.
SCOPE: LOCAL DEV 5191
V3: Pass; retained V2 evidence, not rerun. 
Session: V2-DEV; scope: LOCAL DEV 5191. See QA_FINALIZATION_V3_JOURNAL.json#RAD-008 and HANDOFF_AND_FIX_QUEUE.md.
Retained prior verified evidence — not rerun in Final AI pass.</x:v>
      </x:c>
      <x:c r="G16" s="44"/>
      <x:c r="H16" s="44" t="str">
        <x:v>Use Near Victory/Heat Failure; Pause during terminal resolving turn.</x:v>
      </x:c>
      <x:c r="I16" s="44" t="str">
        <x:v>Result appears; queued pause ad cancelled; no surprise ad after WIN/FAIL.</x:v>
      </x:c>
      <x:c r="J16" s="48" t="str">
        <x:v>C:/Users/mlgjm/OneDrive/Desktop/GameWebsite/outputs/qa-recovery-v2/QA_Evidence/reactor-terminal-queued-result-dom.txt; C:/Users/mlgjm/OneDrive/Desktop/GameWebsite/outputs/qa-recovery-v2/QA_Evidence/reactor-heat-queued-result-dom.txt; C:/Users/mlgjm/OneDrive/Desktop/GameWebsite/outputs/qa-recovery-v2/QA_Evidence/reactor-terminal-queued-events.txt; historical: C:/Users/mlgjm/OneDrive/Desktop/GameWebsite/outputs/qa-20261006/QA_Evidence/notes/browser-observations.md; V3 journal: C:/Users/mlgjm/OneDrive/Desktop/GameWebsite/outputs/qa-finalization-v3/QA_FINALIZATION_V3_JOURNAL.json#RAD-008</x:v>
      </x:c>
      <x:c r="K16" s="48" t="str">
        <x:v>QA-003</x:v>
      </x:c>
      <x:c r="L16" s="48" t="str">
        <x:v>V2-DEV</x:v>
      </x:c>
      <x:c r="M16" s="48" t="str">
        <x:v>Codex QA</x:v>
      </x:c>
      <x:c r="N16" s="58" t="n">
        <x:v>46301</x:v>
      </x:c>
      <x:c r="O16" s="55" t="str"/>
    </x:row>
    <x:row r="17" ht="76" customHeight="1">
      <x:c r="A17" s="42" t="str">
        <x:v>RAD-009</x:v>
      </x:c>
      <x:c r="B17" s="42" t="str">
        <x:v>LOCAL DEV</x:v>
      </x:c>
      <x:c r="C17" s="42" t="str">
        <x:v>P0 - Critical</x:v>
      </x:c>
      <x:c r="D17" s="42" t="str">
        <x:v>No ads from automatic/internal pause</x:v>
      </x:c>
      <x:c r="E17" s="48" t="str">
        <x:v>Pass</x:v>
      </x:c>
      <x:c r="F17" s="48" t="str">
        <x:v>PREVIOUS RESULT: Blocked. Blocked by QA-003: Reactor game renderer/player is disconnected or not ready, so this ad integration outcome cannot be observed reliably until the renderer link is healthy.
NEW RESULT: PARTIAL; RUNNABLE.
REASON: Developer inspector, Scores modal and actual rewarded suspension did not cause a pause-requested opportunity; only two deliberate player Pause requests were recorded. Background-tab behavior remains unverified because selecting a CUA tab does not establish browser document visibility.
SCOPE: LOCAL DEV 5191
V3: Blocked [TOOL_LIMITATION]. Proven already: Developer inspector, Scores modal and actual rewarded suspension did not cause a pause-requested opportunity; only two deliberate player Pause requests were recorded. Background-tab behavior remains unverified because selecting a CUA tab does not establish browser document visibility.
Remaining: Hidden-tab automatic pause must not create pause-requested opportunity; other internal/modal paths already proven.
Specific reason: Developer inspector, Scores modal and actual rewarded suspension did not cause a pause-requested opportunity; only two deliberate player Pause requests were recorded. Background-tab behavior remains unverified because selecting a CUA tab does not establish browser document visibility.
Attempted this run: no. Owner: Engineer. Next step: Establish the specific required fixture/tool/runtime, then Human tester executes: Hidden-tab automatic pause must not create pause-requested opportunity; other internal/modal paths already proven.
Session: V2-DEV; scope: LOCAL DEV 5191. See QA_FINALIZATION_V3_JOURNAL.json#RAD-009 and HANDOFF_AND_FIX_QUEUE.md.
FINAL AI 4B.2 (2026-10-07): BLOCKED — HUMAN TESTING REQUIRED [TOOL_LIMITATION].
Why AI did not finish: The remaining native hover, touch, hidden-tab, key delivery, motion emulation or attributed diagnostic capability is not exposed by this API.
AI already proved: Retained earlier partial evidence: Developer inspector, Scores modal and actual rewarded suspension did not cause a pause-requested opportunity; only two deliberate player Pause requests were recorded. Background-tab behavior remains unverified because selecting a CUA tab does not establish browser document visibility.
Remaining: Hidden-tab automatic pause must not create pause-requested opportunity; other internal/modal paths already proven.
Human action (HQA-19): 1. Use LOCAL DEV; Native browser with positioned pointer; Powers Depleted / Resolving Move Setup fixtures are prerequisites only. 2. Create a disposable QA/profile when changing saved state; launch qa:dev or qa:preview for the specified local environment and use the actual printed URL. 3. Execute only the remaining assertion: Hidden-tab automatic pause must not create pause-requested opportunity; other internal/modal paths already proven.
Expected: No pause-requested interstitial except deliberate player Pause.
Capture: Pass/Fail per ID, screenshot or timestamped video/state snapshot, device/OS/browser versions, viewport/zoom/DPR and a note; compare prior evidence instead of repeating proven subassertions.
Session/evidence: S18; Historical evidence retained; no fresh case execution claimed. Full grouped instructions: HUMAN_QA_FINAL.md#hqa-19.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17" s="42"/>
      <x:c r="H17" s="42" t="str">
        <x:v>With eligibility ready test tab background, developer pause, ad suspension and modal opening.</x:v>
      </x:c>
      <x:c r="I17" s="42" t="str">
        <x:v>No pause-requested interstitial except deliberate player Pause.</x:v>
      </x:c>
      <x:c r="J17" s="48" t="str">
        <x:v>C:/Users/mlgjm/OneDrive/Desktop/GameWebsite/outputs/qa-recovery-v2/QA_Evidence/reactor-excluded-actions-ad-history.txt; C:/Users/mlgjm/OneDrive/Desktop/GameWebsite/outputs/qa-recovery-v2/QA_Evidence/reactor-and-ad-connected.txt; historical: C:/Users/mlgjm/OneDrive/Desktop/GameWebsite/outputs/qa-20261006/QA_Evidence/notes/browser-observations.md; V3 journal: C:/Users/mlgjm/OneDrive/Desktop/GameWebsite/outputs/qa-finalization-v3/QA_FINALIZATION_V3_JOURNAL.json#RAD-009
Human QA completion statement, 2026-10-07; prior AI evidence retained.</x:v>
      </x:c>
      <x:c r="K17" s="48" t="str">
        <x:v>QA-003</x:v>
      </x:c>
      <x:c r="L17" s="48" t="str">
        <x:v>S20</x:v>
      </x:c>
      <x:c r="M17" s="48" t="str">
        <x:v>Hristo</x:v>
      </x:c>
      <x:c r="N17" s="58" t="n">
        <x:v>46302</x:v>
      </x:c>
      <x:c r="O17" s="54" t="str"/>
    </x:row>
    <x:row r="18" ht="76" customHeight="1">
      <x:c r="A18" s="44" t="str">
        <x:v>RAD-010</x:v>
      </x:c>
      <x:c r="B18" s="44" t="str">
        <x:v>LOCAL DEV</x:v>
      </x:c>
      <x:c r="C18" s="44" t="str">
        <x:v>P0 - Critical</x:v>
      </x:c>
      <x:c r="D18" s="44" t="str">
        <x:v>No ads on board / powers / Resume</x:v>
      </x:c>
      <x:c r="E18" s="48" t="str">
        <x:v>Pass</x:v>
      </x:c>
      <x:c r="F18" s="48" t="str">
        <x:v>PREVIOUS RESULT: Blocked. Blocked by QA-003: Reactor game renderer/player is disconnected or not ready, so this ad integration outcome cannot be observed reliably until the renderer link is healthy.
NEW RESULT: PASS; COMPLETED.
REASON: At eligible policy, normal Resume/Sound/Scores produced no extra interstitial in the earlier journey. Re-enabled eligible policy explicitly before an additional real drag merge; shown/session stayed3 and no pause/start event was added. Selection/click merges and prior normal Cool/Upgrade use also caused no interstitial.
SCOPE: LOCAL DEV 5191
V3: Pass; retained V2 evidence, not rerun. 
Session: V2-DEV; scope: LOCAL DEV 5191. See QA_FINALIZATION_V3_JOURNAL.json#RAD-010 and HANDOFF_AND_FIX_QUEUE.md.
Retained prior verified evidence — not rerun in Final AI pass.</x:v>
      </x:c>
      <x:c r="G18" s="44"/>
      <x:c r="H18" s="44" t="str">
        <x:v>Make eligible; move/merge/select/drag, use normal power, Resume, Sound and Scores.</x:v>
      </x:c>
      <x:c r="I18" s="44" t="str">
        <x:v>None request an interstitial; only Start and deliberate Pause are opportunities.</x:v>
      </x:c>
      <x:c r="J18" s="48" t="str">
        <x:v>C:/Users/mlgjm/OneDrive/Desktop/GameWebsite/outputs/qa-recovery-v2/QA_Evidence/reactor-excluded-actions-ad-history.txt; C:/Users/mlgjm/OneDrive/Desktop/GameWebsite/outputs/qa-recovery-v2/QA_Evidence/reactor-eligible-drag-before.txt; C:/Users/mlgjm/OneDrive/Desktop/GameWebsite/outputs/qa-recovery-v2/QA_Evidence/reactor-eligible-drag-after.txt; C:/Users/mlgjm/OneDrive/Desktop/GameWebsite/outputs/qa-recovery-v2/QA_Evidence/reactor-granted-upgrade-manual-use.txt; historical: C:/Users/mlgjm/OneDrive/Desktop/GameWebsite/outputs/qa-20261006/QA_Evidence/notes/browser-observations.md; V3 journal: C:/Users/mlgjm/OneDrive/Desktop/GameWebsite/outputs/qa-finalization-v3/QA_FINALIZATION_V3_JOURNAL.json#RAD-010</x:v>
      </x:c>
      <x:c r="K18" s="48" t="str">
        <x:v>QA-003</x:v>
      </x:c>
      <x:c r="L18" s="48" t="str">
        <x:v>V2-DEV</x:v>
      </x:c>
      <x:c r="M18" s="48" t="str">
        <x:v>Codex QA</x:v>
      </x:c>
      <x:c r="N18" s="58" t="n">
        <x:v>46301</x:v>
      </x:c>
      <x:c r="O18" s="55" t="str"/>
    </x:row>
    <x:row r="19" ht="76" customHeight="1">
      <x:c r="A19" s="42" t="str">
        <x:v>RAD-011</x:v>
      </x:c>
      <x:c r="B19" s="42" t="str">
        <x:v>LOCAL DEV</x:v>
      </x:c>
      <x:c r="C19" s="42" t="str">
        <x:v>P1 - Required</x:v>
      </x:c>
      <x:c r="D19" s="42" t="str">
        <x:v>Rapid Pause/Resume/Restart</x:v>
      </x:c>
      <x:c r="E19" s="48" t="str">
        <x:v>Fail</x:v>
      </x:c>
      <x:c r="F19" s="48" t="str">
        <x:v>PREVIOUS RESULT: Blocked. Blocked by QA-003: Reactor game renderer/player is disconnected or not ready, so this ad integration outcome cannot be observed reliably until the renderer link is healthy.
NEW RESULT: NOT_EXECUTED; RUNNABLE.
REASON: Existing evidence needs a targeted comparison against all expected assertions; no V2 browser execution yet.
SCOPE: Historical evidence only; V2 not executed
V3: Blocked [ENVIRONMENT_SETUP]. Proven already: No complete direct evidence; earlier notes retained above.
Remaining: Required assertions not yet fully verified: No duplicated lifecycle; cooldown intact; pause/menu state remains coherent. Procedure: Rapidly tap available pause/start buttons.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Required assertions not yet fully verified: No duplicated lifecycle; cooldown intact; pause/menu state remains coherent. Procedure: Rapidly tap available pause/start buttons.
Session: S02; scope: Historical evidence only; V2 not executed. See QA_FINALIZATION_V3_JOURNAL.json#RAD-011 and HANDOFF_AND_FIX_QUEUE.md.
FINAL AI 4B.2 (2026-10-07): Fail. FAI-001: After PowersDepleted→ForceFail→public REINITIALIZE→PAUSE→MAIN MENU, heat0 board from new run is covered by prior CORE OVERLOAD/result0 instead of menu INITIALIZE. Reproduced once; clean reload fresh run MainMenu works. Expected coherent pause/menu lifecycle. Rapid/cooldown subassertions unverified; no fixes.
Session/evidence: S18; QA_Evidence/observations.json.</x:v>
      </x:c>
      <x:c r="G19" s="42"/>
      <x:c r="H19" s="42" t="str">
        <x:v>Rapidly tap available pause/start buttons.</x:v>
      </x:c>
      <x:c r="I19" s="42" t="str">
        <x:v>No duplicated lifecycle; cooldown intact; pause/menu state remains coherent.</x:v>
      </x:c>
      <x:c r="J19" s="48" t="str">
        <x:v>C:/Users/mlgjm/OneDrive/Desktop/GameWebsite/outputs/qa-20261006/QA_Evidence/notes/browser-observations.md; V3 journal: C:/Users/mlgjm/OneDrive/Desktop/GameWebsite/outputs/qa-finalization-v3/QA_FINALIZATION_V3_JOURNAL.json#RAD-011; FINAL AI: C:/Users/mlgjm/OneDrive/Desktop/GameWebsite/outputs/qa-final-ai/2026-10-07_000739/QA_Evidence/observations.json</x:v>
      </x:c>
      <x:c r="K19" s="48" t="str">
        <x:v>QA-003; FAI-001</x:v>
      </x:c>
      <x:c r="L19" s="48" t="str">
        <x:v>S18</x:v>
      </x:c>
      <x:c r="M19" s="48" t="str">
        <x:v>Codex Final AI QA</x:v>
      </x:c>
      <x:c r="N19" s="58" t="n">
        <x:v>46301.8803125</x:v>
      </x:c>
      <x:c r="O19" s="54" t="str"/>
    </x:row>
    <x:row r="20" ht="76" customHeight="1">
      <x:c r="A20" s="44" t="str">
        <x:v>RAD-012</x:v>
      </x:c>
      <x:c r="B20" s="44" t="str">
        <x:v>LOCAL DEV</x:v>
      </x:c>
      <x:c r="C20" s="44" t="str">
        <x:v>P0 - Critical</x:v>
      </x:c>
      <x:c r="D20" s="44" t="str">
        <x:v>Cool refill offer only at zero</x:v>
      </x:c>
      <x:c r="E20" s="48" t="str">
        <x:v>Pass</x:v>
      </x:c>
      <x:c r="F20" s="48" t="str">
        <x:v>PREVIOUS RESULT: Blocked. Blocked by QA-003: Reactor game renderer/player is disconnected or not ready, so this ad integration outcome cannot be observed reliably until the renderer link is healthy.
NEW RESULT: PASS; COMPLETED.
REASON: ActualfreeCoolatpositiveheat4used→0; depletedstablelivecontroloffersWatchad+1Cool. Completedrewardaddsonecharge; depletedafterconsumptionallowancepreventsrepeat.
SCOPE: LOCAL DEV 5191
V3: Pass; retained V2 evidence, not rerun. 
Session: V2-DEV; scope: LOCAL DEV 5191. See QA_FINALIZATION_V3_JOURNAL.json#RAD-012 and HANDOFF_AND_FIX_QUEUE.md.
Retained prior verified evidence — not rerun in Final AI pass.</x:v>
      </x:c>
      <x:c r="G20" s="44"/>
      <x:c r="H20" s="44" t="str">
        <x:v>Use free Cool at positive heat, inspect depleted UI.</x:v>
      </x:c>
      <x:c r="I20" s="44" t="str">
        <x:v>Explicit Watch ad: +1 Cool Core action appears only in stable live state with allowance.</x:v>
      </x:c>
      <x:c r="J20" s="48" t="str">
        <x:v>C:/Users/mlgjm/OneDrive/Desktop/GameWebsite/outputs/qa-recovery-v2/QA_Evidence/reactor-and-ad-connected.txt; C:/Users/mlgjm/OneDrive/Desktop/GameWebsite/outputs/qa-recovery-v2/QA_Evidence/reactor-post-move-diagnostics.txt; historical: C:/Users/mlgjm/OneDrive/Desktop/GameWebsite/outputs/qa-20261006/QA_Evidence/notes/browser-observations.md; V3 journal: C:/Users/mlgjm/OneDrive/Desktop/GameWebsite/outputs/qa-finalization-v3/QA_FINALIZATION_V3_JOURNAL.json#RAD-012</x:v>
      </x:c>
      <x:c r="K20" s="48" t="str">
        <x:v>QA-003</x:v>
      </x:c>
      <x:c r="L20" s="48" t="str">
        <x:v>V2-DEV</x:v>
      </x:c>
      <x:c r="M20" s="48" t="str">
        <x:v>Codex QA</x:v>
      </x:c>
      <x:c r="N20" s="58" t="n">
        <x:v>46301</x:v>
      </x:c>
      <x:c r="O20" s="55" t="str"/>
    </x:row>
    <x:row r="21" ht="76" customHeight="1">
      <x:c r="A21" s="42" t="str">
        <x:v>RAD-013</x:v>
      </x:c>
      <x:c r="B21" s="42" t="str">
        <x:v>LOCAL DEV</x:v>
      </x:c>
      <x:c r="C21" s="42" t="str">
        <x:v>P0 - Critical</x:v>
      </x:c>
      <x:c r="D21" s="42" t="str">
        <x:v>Cool successful refill only adds charge</x:v>
      </x:c>
      <x:c r="E21" s="48" t="str">
        <x:v>Pass</x:v>
      </x:c>
      <x:c r="F21" s="48" t="str">
        <x:v>PREVIOUS RESULT: Blocked. Blocked by QA-003: Reactor game renderer/player is disconnected or not ready, so this ad integration outcome cannot be observed reliably until the renderer link is healthy.
NEW RESULT: PASS; COMPLETED.
REASON: Actual browser Cool reward added exactly one charge with unchanged runId/heat/board/score/moves/stability and one acknowledgment; manual activation remained separate. Remaining internal RNG assertion is independently established by the passed qualified-Cool-refill unit test: exact state snapshot except inventory/granted, equal RNG call count and same runId (tests/reactor-ads.test.mjs179–181). This is layered evidence, not a claim that RNG was read from the GUI.
SCOPE: LOCAL DEV real reward integration + deterministic exact-state/RNG invariant
V3: Pass; retained V2 evidence, not rerun. 
Session: V2-DEV; scope: LOCAL DEV real reward integration + deterministic exact-state/RNG invariant. See QA_FINALIZATION_V3_JOURNAL.json#RAD-013 and HANDOFF_AND_FIX_QUEUE.md.
Retained prior verified evidence — not rerun in Final AI pass.</x:v>
      </x:c>
      <x:c r="G21" s="42"/>
      <x:c r="H21" s="42" t="str">
        <x:v>Record heat, board, score, moves, stability, runId; complete Cool reward.</x:v>
      </x:c>
      <x:c r="I21" s="42" t="str">
        <x:v>+1 Cool only; no cooling, move, spawn, score/stability/RNG change; one acknowledgment.</x:v>
      </x:c>
      <x:c r="J21" s="48" t="str">
        <x:v>C:/Users/mlgjm/OneDrive/Desktop/GameWebsite/outputs/qa-recovery-v2/QA_Evidence/reactor-and-ad-connected.txt; C:/Users/mlgjm/OneDrive/Desktop/GameWebsite/outputs/qa-recovery-v2/QA_Evidence/reactor-post-move-diagnostics.txt; C:/Users/mlgjm/OneDrive/Desktop/GameWebsite/outputs/qa-recovery-v2/QA_Evidence/test-reactor-ads.log; historical: C:/Users/mlgjm/OneDrive/Desktop/GameWebsite/outputs/qa-20261006/QA_Evidence/notes/browser-observations.md; V3 journal: C:/Users/mlgjm/OneDrive/Desktop/GameWebsite/outputs/qa-finalization-v3/QA_FINALIZATION_V3_JOURNAL.json#RAD-013</x:v>
      </x:c>
      <x:c r="K21" s="48" t="str">
        <x:v>QA-003</x:v>
      </x:c>
      <x:c r="L21" s="48" t="str">
        <x:v>V2-DEV</x:v>
      </x:c>
      <x:c r="M21" s="48" t="str">
        <x:v>Codex QA</x:v>
      </x:c>
      <x:c r="N21" s="58" t="n">
        <x:v>46301</x:v>
      </x:c>
      <x:c r="O21" s="54" t="str"/>
    </x:row>
    <x:row r="22" ht="76" customHeight="1">
      <x:c r="A22" s="44" t="str">
        <x:v>RAD-014</x:v>
      </x:c>
      <x:c r="B22" s="44" t="str">
        <x:v>LOCAL DEV</x:v>
      </x:c>
      <x:c r="C22" s="44" t="str">
        <x:v>P0 - Critical</x:v>
      </x:c>
      <x:c r="D22" s="44" t="str">
        <x:v>Cool refill use and exhausted allowance</x:v>
      </x:c>
      <x:c r="E22" s="48" t="str">
        <x:v>Pass</x:v>
      </x:c>
      <x:c r="F22" s="48" t="str">
        <x:v>PREVIOUS RESULT: Blocked. Blocked by QA-003: Reactor game renderer/player is disconnected or not ready, so this ad integration outcome cannot be observed reliably until the renderer link is healthy.
NEW RESULT: PASS; COMPLETED.
REASON: AfterqualifiedCoolrefill, realacceptedmove raisesheat4; manualCoolreducesheat0andcharge1→0, usedcounterincrements1; shownattemptalreadytrue keepsrefilldisabled. Grantitselfpreviouslydidnotcool.
SCOPE: LOCAL DEV 5191
V3: Pass; retained V2 evidence, not rerun. 
Session: V2-DEV; scope: LOCAL DEV 5191. See QA_FINALIZATION_V3_JOURNAL.json#RAD-014 and HANDOFF_AND_FIX_QUEUE.md.
Retained prior verified evidence — not rerun in Final AI pass.</x:v>
      </x:c>
      <x:c r="G22" s="44"/>
      <x:c r="H22" s="44" t="str">
        <x:v>Use granted Cool, then inspect depleted UI again.</x:v>
      </x:c>
      <x:c r="I22" s="44" t="str">
        <x:v>No further Cool rewarded opportunity this run; normal effect applied only on manual use.</x:v>
      </x:c>
      <x:c r="J22" s="48" t="str">
        <x:v>C:/Users/mlgjm/OneDrive/Desktop/GameWebsite/outputs/qa-recovery-v2/QA_Evidence/reactor-post-move-diagnostics.txt; C:/Users/mlgjm/OneDrive/Desktop/GameWebsite/outputs/qa-recovery-v2/QA_Evidence/reactor-pause.txt; historical: C:/Users/mlgjm/OneDrive/Desktop/GameWebsite/outputs/qa-20261006/QA_Evidence/notes/browser-observations.md; V3 journal: C:/Users/mlgjm/OneDrive/Desktop/GameWebsite/outputs/qa-finalization-v3/QA_FINALIZATION_V3_JOURNAL.json#RAD-014</x:v>
      </x:c>
      <x:c r="K22" s="48" t="str">
        <x:v>QA-003</x:v>
      </x:c>
      <x:c r="L22" s="48" t="str">
        <x:v>V2-DEV</x:v>
      </x:c>
      <x:c r="M22" s="48" t="str">
        <x:v>Codex QA</x:v>
      </x:c>
      <x:c r="N22" s="58" t="n">
        <x:v>46301</x:v>
      </x:c>
      <x:c r="O22" s="55" t="str"/>
    </x:row>
    <x:row r="23" ht="76" customHeight="1">
      <x:c r="A23" s="42" t="str">
        <x:v>RAD-015</x:v>
      </x:c>
      <x:c r="B23" s="42" t="str">
        <x:v>LOCAL DEV</x:v>
      </x:c>
      <x:c r="C23" s="42" t="str">
        <x:v>P0 - Critical</x:v>
      </x:c>
      <x:c r="D23" s="42" t="str">
        <x:v>Upgrade refill does not arm</x:v>
      </x:c>
      <x:c r="E23" s="48" t="str">
        <x:v>Pass</x:v>
      </x:c>
      <x:c r="F23" s="48" t="str">
        <x:v>PREVIOUS RESULT: Blocked. Blocked by QA-003: Reactor game renderer/player is disconnected or not ready, so this ad integration outcome cannot be observed reliably until the renderer link is healthy.
NEW RESULT: PASS; COMPLETED.
REASON: Actual browser Upgrade reward added one charge without arming or changing board/heat/moves/score/stability; later manual targeting consumed it separately. Passed qualified-Upgrade-refill unit test independently compares exact state except inventory/granted and verifies unchanged RNG and runId (tests/reactor-ads.test.mjs179–181). Internal RNG was not GUI-observed.
SCOPE: LOCAL DEV real reward integration + deterministic exact-state/RNG invariant
V3: Pass; retained V2 evidence, not rerun. 
Session: V2-DEV; scope: LOCAL DEV real reward integration + deterministic exact-state/RNG invariant. See QA_FINALIZATION_V3_JOURNAL.json#RAD-015 and HANDOFF_AND_FIX_QUEUE.md.
Retained prior verified evidence — not rerun in Final AI pass.</x:v>
      </x:c>
      <x:c r="G23" s="42"/>
      <x:c r="H23" s="42" t="str">
        <x:v>Spend free Upgrade; record board/arming; complete Upgrade reward.</x:v>
      </x:c>
      <x:c r="I23" s="42" t="str">
        <x:v>+1 Upgrade only; no armed mode, changed cell, heat/move/spawn or RNG change.</x:v>
      </x:c>
      <x:c r="J23" s="48" t="str">
        <x:v>C:/Users/mlgjm/OneDrive/Desktop/GameWebsite/outputs/qa-recovery-v2/QA_Evidence/reactor-granted-upgrade-before-use.txt; C:/Users/mlgjm/OneDrive/Desktop/GameWebsite/outputs/qa-recovery-v2/QA_Evidence/reactor-granted-upgrade-manual-use.txt; C:/Users/mlgjm/OneDrive/Desktop/GameWebsite/outputs/qa-recovery-v2/QA_Evidence/test-reactor-ads.log; historical: C:/Users/mlgjm/OneDrive/Desktop/GameWebsite/outputs/qa-20261006/QA_Evidence/notes/browser-observations.md; V3 journal: C:/Users/mlgjm/OneDrive/Desktop/GameWebsite/outputs/qa-finalization-v3/QA_FINALIZATION_V3_JOURNAL.json#RAD-015</x:v>
      </x:c>
      <x:c r="K23" s="48" t="str">
        <x:v>QA-003</x:v>
      </x:c>
      <x:c r="L23" s="48" t="str">
        <x:v>V2-DEV</x:v>
      </x:c>
      <x:c r="M23" s="48" t="str">
        <x:v>Codex QA</x:v>
      </x:c>
      <x:c r="N23" s="58" t="n">
        <x:v>46301</x:v>
      </x:c>
      <x:c r="O23" s="54" t="str"/>
    </x:row>
    <x:row r="24" ht="76" customHeight="1">
      <x:c r="A24" s="44" t="str">
        <x:v>RAD-016</x:v>
      </x:c>
      <x:c r="B24" s="44" t="str">
        <x:v>LOCAL DEV</x:v>
      </x:c>
      <x:c r="C24" s="44" t="str">
        <x:v>P0 - Critical</x:v>
      </x:c>
      <x:c r="D24" s="44" t="str">
        <x:v>Upgrade manual use and exhausted allowance</x:v>
      </x:c>
      <x:c r="E24" s="48" t="str">
        <x:v>Pass</x:v>
      </x:c>
      <x:c r="F24" s="48" t="str">
        <x:v>PREVIOUS RESULT: Blocked. Blocked by QA-003: Reactor game renderer/player is disconnected or not ready, so this ad integration outcome cannot be observed reliably until the renderer link is healthy.
NEW RESULT: PASS; COMPLETED.
REASON: ActualfreeUpgradeI→II consumes1; realqualifiedrefillgrants+1withoutautoaction; manualarm/useII→IIIconsumesgrantedcharge, Upgrade0attempttruegranted2used2, heat50moves0score0occupied1unchanged; nofurtherrefillCTA.
SCOPE: LOCAL DEV 5191
V3: Pass; retained V2 evidence, not rerun. 
Session: V2-DEV; scope: LOCAL DEV 5191. See QA_FINALIZATION_V3_JOURNAL.json#RAD-016 and HANDOFF_AND_FIX_QUEUE.md.
Retained prior verified evidence — not rerun in Final AI pass.</x:v>
      </x:c>
      <x:c r="G24" s="44"/>
      <x:c r="H24" s="44" t="str">
        <x:v>Manually arm/use granted Upgrade; inspect depleted UI.</x:v>
      </x:c>
      <x:c r="I24" s="44" t="str">
        <x:v>Correct target upgrade once; no further Upgrade reward this run.</x:v>
      </x:c>
      <x:c r="J24" s="48" t="str">
        <x:v>C:/Users/mlgjm/OneDrive/Desktop/GameWebsite/outputs/qa-recovery-v2/QA_Evidence/reactor-granted-upgrade-before-use.txt; C:/Users/mlgjm/OneDrive/Desktop/GameWebsite/outputs/qa-recovery-v2/QA_Evidence/reactor-granted-upgrade-manual-use.txt; historical: C:/Users/mlgjm/OneDrive/Desktop/GameWebsite/outputs/qa-20261006/QA_Evidence/notes/browser-observations.md; V3 journal: C:/Users/mlgjm/OneDrive/Desktop/GameWebsite/outputs/qa-finalization-v3/QA_FINALIZATION_V3_JOURNAL.json#RAD-016</x:v>
      </x:c>
      <x:c r="K24" s="48" t="str">
        <x:v>QA-003</x:v>
      </x:c>
      <x:c r="L24" s="48" t="str">
        <x:v>V2-DEV</x:v>
      </x:c>
      <x:c r="M24" s="48" t="str">
        <x:v>Codex QA</x:v>
      </x:c>
      <x:c r="N24" s="58" t="n">
        <x:v>46301</x:v>
      </x:c>
      <x:c r="O24" s="55" t="str"/>
    </x:row>
    <x:row r="25" ht="76" customHeight="1">
      <x:c r="A25" s="42" t="str">
        <x:v>RAD-017</x:v>
      </x:c>
      <x:c r="B25" s="42" t="str">
        <x:v>LOCAL DEV</x:v>
      </x:c>
      <x:c r="C25" s="42" t="str">
        <x:v>P0 - Critical</x:v>
      </x:c>
      <x:c r="D25" s="42" t="str">
        <x:v>Independent power allowances</x:v>
      </x:c>
      <x:c r="E25" s="48" t="str">
        <x:v>Pass</x:v>
      </x:c>
      <x:c r="F25" s="48" t="str">
        <x:v>PREVIOUS RESULT: Blocked. Blocked by QA-003: Reactor game renderer/player is disconnected or not ready, so this ad integration outcome cannot be observed reliably until the renderer link is healthy.
NEW RESULT: PASS; COMPLETED.
REASON: Cool skip retained Upgrade independent attempt false; subsequent Upgrade request was shown and skipped independently on same runId.
SCOPE: LOCAL DEV 5191
V3: Pass; retained V2 evidence, not rerun. 
Session: V2-DEV; scope: LOCAL DEV 5191. See QA_FINALIZATION_V3_JOURNAL.json#RAD-017 and HANDOFF_AND_FIX_QUEUE.md.
Retained prior verified evidence — not rerun in Final AI pass.</x:v>
      </x:c>
      <x:c r="G25" s="42"/>
      <x:c r="H25" s="42" t="str">
        <x:v>Consume or skip Cool reward, then deplete Upgrade.</x:v>
      </x:c>
      <x:c r="I25" s="42" t="str">
        <x:v>Upgrade retains its own one shown attempt; same runId does not combine the two caps.</x:v>
      </x:c>
      <x:c r="J25" s="48" t="str">
        <x:v>C:/Users/mlgjm/OneDrive/Desktop/GameWebsite/outputs/qa-recovery-v2/QA_Evidence/reactor-cool-skip.txt; C:/Users/mlgjm/OneDrive/Desktop/GameWebsite/outputs/qa-recovery-v2/QA_Evidence/reactor-upgrade-skip.txt; historical: C:/Users/mlgjm/OneDrive/Desktop/GameWebsite/outputs/qa-20261006/QA_Evidence/notes/browser-observations.md; V3 journal: C:/Users/mlgjm/OneDrive/Desktop/GameWebsite/outputs/qa-finalization-v3/QA_FINALIZATION_V3_JOURNAL.json#RAD-017</x:v>
      </x:c>
      <x:c r="K25" s="48" t="str">
        <x:v>QA-003</x:v>
      </x:c>
      <x:c r="L25" s="48" t="str">
        <x:v>V2-DEV</x:v>
      </x:c>
      <x:c r="M25" s="48" t="str">
        <x:v>Codex QA</x:v>
      </x:c>
      <x:c r="N25" s="58" t="n">
        <x:v>46301</x:v>
      </x:c>
      <x:c r="O25" s="54" t="str"/>
    </x:row>
    <x:row r="26" ht="76" customHeight="1">
      <x:c r="A26" s="44" t="str">
        <x:v>RAD-018</x:v>
      </x:c>
      <x:c r="B26" s="44" t="str">
        <x:v>LOCAL DEV</x:v>
      </x:c>
      <x:c r="C26" s="44" t="str">
        <x:v>P0 - Critical</x:v>
      </x:c>
      <x:c r="D26" s="44" t="str">
        <x:v>Rewarded Skip: Cool</x:v>
      </x:c>
      <x:c r="E26" s="48" t="str">
        <x:v>Pass</x:v>
      </x:c>
      <x:c r="F26" s="48" t="str">
        <x:v>PREVIOUS RESULT: Blocked. Blocked by QA-003: Reactor game renderer/player is disconnected or not ready, so this ad integration outcome cannot be observed reliably until the renderer link is healthy.
NEW RESULT: PASS; COMPLETED.
REASON: Actual Cool refill player Skip: closed player-skip; inventory 0, attempt true, granted 1, used 0; same runId resumed PLAYING, pending none.
SCOPE: LOCAL DEV 5191
V3: Pass; retained V2 evidence, not rerun. 
Session: V2-DEV; scope: LOCAL DEV 5191. See QA_FINALIZATION_V3_JOURNAL.json#RAD-018 and HANDOFF_AND_FIX_QUEUE.md.
Retained prior verified evidence — not rerun in Final AI pass.</x:v>
      </x:c>
      <x:c r="G26" s="44"/>
      <x:c r="H26" s="44" t="str">
        <x:v>Fresh run; request depleted Cool refill and Skip — no reward.</x:v>
      </x:c>
      <x:c r="I26" s="44" t="str">
        <x:v>No charge; Cool shown-attempt consumed only; board unchanged; play resumes safely.</x:v>
      </x:c>
      <x:c r="J26" s="48" t="str">
        <x:v>C:/Users/mlgjm/OneDrive/Desktop/GameWebsite/outputs/qa-recovery-v2/QA_Evidence/reactor-cool-skip.txt; historical: C:/Users/mlgjm/OneDrive/Desktop/GameWebsite/outputs/qa-20261006/QA_Evidence/notes/browser-observations.md; V3 journal: C:/Users/mlgjm/OneDrive/Desktop/GameWebsite/outputs/qa-finalization-v3/QA_FINALIZATION_V3_JOURNAL.json#RAD-018</x:v>
      </x:c>
      <x:c r="K26" s="48" t="str">
        <x:v>QA-003</x:v>
      </x:c>
      <x:c r="L26" s="48" t="str">
        <x:v>V2-DEV</x:v>
      </x:c>
      <x:c r="M26" s="48" t="str">
        <x:v>Codex QA</x:v>
      </x:c>
      <x:c r="N26" s="58" t="n">
        <x:v>46301</x:v>
      </x:c>
      <x:c r="O26" s="55" t="str"/>
    </x:row>
    <x:row r="27" ht="76" customHeight="1">
      <x:c r="A27" s="42" t="str">
        <x:v>RAD-019</x:v>
      </x:c>
      <x:c r="B27" s="42" t="str">
        <x:v>LOCAL DEV</x:v>
      </x:c>
      <x:c r="C27" s="42" t="str">
        <x:v>P0 - Critical</x:v>
      </x:c>
      <x:c r="D27" s="42" t="str">
        <x:v>Rewarded Skip: Upgrade</x:v>
      </x:c>
      <x:c r="E27" s="48" t="str">
        <x:v>Pass</x:v>
      </x:c>
      <x:c r="F27" s="48" t="str">
        <x:v>PREVIOUS RESULT: Blocked. Blocked by QA-003: Reactor game renderer/player is disconnected or not ready, so this ad integration outcome cannot be observed reliably until the renderer link is healthy.
NEW RESULT: PASS; COMPLETED.
REASON: Actual Upgrade player Skip: inventory 0, attempt true, granted 1, used 0; same runId resumed PLAYING, pending none; Cool statistics unchanged.
SCOPE: LOCAL DEV 5191
V3: Pass; retained V2 evidence, not rerun. 
Session: V2-DEV; scope: LOCAL DEV 5191. See QA_FINALIZATION_V3_JOURNAL.json#RAD-019 and HANDOFF_AND_FIX_QUEUE.md.
Retained prior verified evidence — not rerun in Final AI pass.</x:v>
      </x:c>
      <x:c r="G27" s="42"/>
      <x:c r="H27" s="42" t="str">
        <x:v>Repeat on Upgrade in fresh run.</x:v>
      </x:c>
      <x:c r="I27" s="42" t="str">
        <x:v>No charge/arming; Upgrade allowance consumed only; Cool still independent.</x:v>
      </x:c>
      <x:c r="J27" s="48" t="str">
        <x:v>C:/Users/mlgjm/OneDrive/Desktop/GameWebsite/outputs/qa-recovery-v2/QA_Evidence/reactor-upgrade-skip.txt; historical: C:/Users/mlgjm/OneDrive/Desktop/GameWebsite/outputs/qa-20261006/QA_Evidence/notes/browser-observations.md; V3 journal: C:/Users/mlgjm/OneDrive/Desktop/GameWebsite/outputs/qa-finalization-v3/QA_FINALIZATION_V3_JOURNAL.json#RAD-019</x:v>
      </x:c>
      <x:c r="K27" s="48" t="str">
        <x:v>QA-003</x:v>
      </x:c>
      <x:c r="L27" s="48" t="str">
        <x:v>V2-DEV</x:v>
      </x:c>
      <x:c r="M27" s="48" t="str">
        <x:v>Codex QA</x:v>
      </x:c>
      <x:c r="N27" s="58" t="n">
        <x:v>46301</x:v>
      </x:c>
      <x:c r="O27" s="54" t="str"/>
    </x:row>
    <x:row r="28" ht="76" customHeight="1">
      <x:c r="A28" s="44" t="str">
        <x:v>RAD-020</x:v>
      </x:c>
      <x:c r="B28" s="44" t="str">
        <x:v>LOCAL DEV</x:v>
      </x:c>
      <x:c r="C28" s="44" t="str">
        <x:v>P1 - Required</x:v>
      </x:c>
      <x:c r="D28" s="44" t="str">
        <x:v>Pre-show failure preserves refill</x:v>
      </x:c>
      <x:c r="E28" s="48" t="str">
        <x:v>Pass</x:v>
      </x:c>
      <x:c r="F28" s="48" t="str">
        <x:v>PREVIOUS RESULT: Blocked. Blocked by QA-003: Reactor game renderer/player is disconnected or not ready, so this ad integration outcome cannot be observed reliably until the renderer link is healthy.
NEW RESULT: PASS; COMPLETED.
REASON: Four isolated runs: No fill and Load error for each power returned PLAYING/pending none; depleted charge0, attempt false, granted1 used0. Other power unchanged; no automatic retry.
SCOPE: LOCAL DEV 5191
V3: Pass; retained V2 evidence, not rerun. 
Session: V2-DEV; scope: LOCAL DEV 5191. See QA_FINALIZATION_V3_JOURNAL.json#RAD-020 and HANDOFF_AND_FIX_QUEUE.md.
Retained prior verified evidence — not rerun in Final AI pass.</x:v>
      </x:c>
      <x:c r="G28" s="44"/>
      <x:c r="H28" s="44" t="str">
        <x:v>For each power select No fill or Load error before request.</x:v>
      </x:c>
      <x:c r="I28" s="44" t="str">
        <x:v>No charge, no used flag, no automatic retry; another deliberate request possible subject to shared policy.</x:v>
      </x:c>
      <x:c r="J28" s="48" t="str">
        <x:v>C:/Users/mlgjm/OneDrive/Desktop/GameWebsite/outputs/qa-recovery-v2/QA_Evidence/reactor-cool-no-fill.txt; C:/Users/mlgjm/OneDrive/Desktop/GameWebsite/outputs/qa-recovery-v2/QA_Evidence/reactor-cool-load-error.txt; C:/Users/mlgjm/OneDrive/Desktop/GameWebsite/outputs/qa-recovery-v2/QA_Evidence/reactor-upgrade-no-fill.txt; C:/Users/mlgjm/OneDrive/Desktop/GameWebsite/outputs/qa-recovery-v2/QA_Evidence/reactor-upgrade-load-error.txt; historical: C:/Users/mlgjm/OneDrive/Desktop/GameWebsite/outputs/qa-20261006/QA_Evidence/notes/browser-observations.md; V3 journal: C:/Users/mlgjm/OneDrive/Desktop/GameWebsite/outputs/qa-finalization-v3/QA_FINALIZATION_V3_JOURNAL.json#RAD-020</x:v>
      </x:c>
      <x:c r="K28" s="48" t="str">
        <x:v>QA-003</x:v>
      </x:c>
      <x:c r="L28" s="48" t="str">
        <x:v>V2-DEV</x:v>
      </x:c>
      <x:c r="M28" s="48" t="str">
        <x:v>Codex QA</x:v>
      </x:c>
      <x:c r="N28" s="58" t="n">
        <x:v>46301</x:v>
      </x:c>
      <x:c r="O28" s="55" t="str"/>
    </x:row>
    <x:row r="29" ht="76" customHeight="1">
      <x:c r="A29" s="42" t="str">
        <x:v>RAD-021</x:v>
      </x:c>
      <x:c r="B29" s="42" t="str">
        <x:v>LOCAL DEV</x:v>
      </x:c>
      <x:c r="C29" s="42" t="str">
        <x:v>P1 - Required</x:v>
      </x:c>
      <x:c r="D29" s="42" t="str">
        <x:v>Timeout / cancel reward</x:v>
      </x:c>
      <x:c r="E29" s="48" t="str">
        <x:v>N/A</x:v>
      </x:c>
      <x:c r="F29" s="48" t="str">
        <x:v>PREVIOUS RESULT: Blocked. Blocked by QA-003: Reactor game renderer/player is disconnected or not ready, so this ad integration outcome cannot be observed reliably until the renderer link is healthy.
NEW RESULT: PARTIAL; RUNNABLE.
REASON: Timeout simulated separately for Cool and Upgrade, no charge or stuck lock, shown state not consumed before presentation. QA abort while showing still pending.
SCOPE: LOCAL DEV 5191
V3: Blocked [ENVIRONMENT_SETUP]. Proven already: Timeout simulated separately for Cool and Upgrade, no charge or stuck lock, shown state not consumed before presentation. QA abort while showing still pending.
Remaining: QA abort after presentation shown, separately for both powers, retains shown attempt and grants nothing.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QA abort after presentation shown, separately for both powers, retains shown attempt and grants nothing.
Session: V2-DEV; scope: LOCAL DEV 5191. See QA_FINALIZATION_V3_JOURNAL.json#RAD-021 and HANDOFF_AND_FIX_QUEUE.md.
FINAL AI 4B.2 (2026-10-07): BLOCKED — HUMAN TESTING REQUIRED [HUMAN_JUDGMENT].
Why AI did not finish: Audible quality, balance, duplication and restoration require human hearing; observable UI/state evidence is retained.
AI already proved: Allfour actual prerequisite scenarios exercised: Upgrade timeout and Cool shown→QA abort earlier; Cool timeout and Upgrade shown→QA abort now. Each restoredPLAYING with inventory0/no unqualified grant. PreshowTimeout attemptfalse; shownAbort attempttrue/historyretained.
Remaining: Human listens for correctly restored sound/no stuck or duplicate audio after each Cool/Upgrade timeout and shown-abort; also click a normal board action once to verify full input restoration. Inventory/attempt assertions already proven.
Human action (HQA-05): 1. Use LOCAL DEV; Headphones/speakers, native Chrome/Edge and at least one physical mobile browser. 2. Create a disposable QA/profile when changing saved state; launch qa:dev or qa:preview for the specified local environment and use the actual printed URL. 3. Execute only the remaining assertion: Human listens for correctly restored sound/no stuck or duplicate audio after each Cool/Upgrade timeout and shown-abort; also click a normal board action once to verify full input restoration. Inventory/attempt assertions already proven.
Expected: No unqualified grant or stuck input/audio; shown attempt retained if already displayed.
Capture: Pass/Fail per ID, screenshot or timestamped video/state snapshot, device/OS/browser versions, viewport/zoom/DPR and a note; compare prior evidence instead of repeating proven subassertions.
Session/evidence: S18; QA_Evidence/observations.json. Full grouped instructions: HUMAN_QA_FINAL.md#hqa-05. Historical Bug IDs are retained links, not current confirmed dependencies unless explicitly stated.
FINAL HUMAN QA (2026-10-07): N/A — audible acceptance is intentionally deferred because the current games do not yet have the final audio implementation to certify. Hristo explicitly approved audio-owned cases as N/A, with a separate dedicated Audio QA pass required later.</x:v>
      </x:c>
      <x:c r="G29" s="42"/>
      <x:c r="H29" s="42" t="str">
        <x:v>For each power test timeout or QA abort; compare shown state.</x:v>
      </x:c>
      <x:c r="I29" s="42" t="str">
        <x:v>No unqualified grant or stuck input/audio; shown attempt retained if already displayed.</x:v>
      </x:c>
      <x:c r="J29" s="48" t="str">
        <x:v>C:/Users/mlgjm/OneDrive/Desktop/GameWebsite/outputs/qa-recovery-v2/QA_Evidence/reactor-cool-timeout.txt; C:/Users/mlgjm/OneDrive/Desktop/GameWebsite/outputs/qa-recovery-v2/QA_Evidence/reactor-upgrade-timeout.txt; historical: C:/Users/mlgjm/OneDrive/Desktop/GameWebsite/outputs/qa-20261006/QA_Evidence/notes/browser-observations.md; V3 journal: C:/Users/mlgjm/OneDrive/Desktop/GameWebsite/outputs/qa-finalization-v3/QA_FINALIZATION_V3_JOURNAL.json#RAD-021; FINAL AI: C:/Users/mlgjm/OneDrive/Desktop/GameWebsite/outputs/qa-final-ai/2026-10-07_000739/QA_Evidence/observations.json
Owner-approved Human QA N/A decision, 2026-10-07; prior AI evidence retained.</x:v>
      </x:c>
      <x:c r="K29" s="48" t="str">
        <x:v>QA-003</x:v>
      </x:c>
      <x:c r="L29" s="48" t="str">
        <x:v>S20</x:v>
      </x:c>
      <x:c r="M29" s="48" t="str">
        <x:v>Hristo</x:v>
      </x:c>
      <x:c r="N29" s="58" t="n">
        <x:v>46302</x:v>
      </x:c>
      <x:c r="O29" s="54" t="str"/>
    </x:row>
    <x:row r="30" ht="76" customHeight="1">
      <x:c r="A30" s="44" t="str">
        <x:v>RAD-022</x:v>
      </x:c>
      <x:c r="B30" s="44" t="str">
        <x:v>LOCAL DEV</x:v>
      </x:c>
      <x:c r="C30" s="44" t="str">
        <x:v>P0 - Critical</x:v>
      </x:c>
      <x:c r="D30" s="44" t="str">
        <x:v>Duplicate request / stale result</x:v>
      </x:c>
      <x:c r="E30" s="48" t="str">
        <x:v>Pass</x:v>
      </x:c>
      <x:c r="F30" s="48" t="str">
        <x:v>PREVIOUS RESULT: Blocked. Blocked by QA-003: Reactor game renderer/player is disconnected or not ready, so this ad integration outcome cannot be observed reliably until the renderer link is healthy.
NEW RESULT: PASS; COMPLETED.
REASON: Actual Cool refill double-click produced one accepted request/presentation. Navigating Orbit before terminal result closed old reactor.cool-refill with route-changed, no completed reward and no acknowledgments. Returning Reactor initialized a new run with exactly one free charge each, six cells and no pending lock. Reactor ad unit tests independently cover stale/duplicate callbacks.
SCOPE: LOCAL DEV real pending-route disposal + deterministic stale guards
V3: Pass; retained V2 evidence, not rerun. 
Session: V2-DEV; scope: LOCAL DEV real pending-route disposal + deterministic stale guards. See QA_FINALIZATION_V3_JOURNAL.json#RAD-022 and HANDOFF_AND_FIX_QUEUE.md.
Retained prior verified evidence — not rerun in Final AI pass.</x:v>
      </x:c>
      <x:c r="G30" s="44" t="str">
        <x:v>Deep message injection remains automated/assisted.</x:v>
      </x:c>
      <x:c r="H30" s="44" t="str">
        <x:v>Double-click refill; navigate/restart via permitted actions before delayed result in separate run.</x:v>
      </x:c>
      <x:c r="I30" s="44" t="str">
        <x:v>No duplicate or late inventory grant; old run request cannot reward new board.</x:v>
      </x:c>
      <x:c r="J30" s="48" t="str">
        <x:v>C:/Users/mlgjm/OneDrive/Desktop/GameWebsite/outputs/qa-recovery-v2/QA_Evidence/reactor-double-refill-before.txt; C:/Users/mlgjm/OneDrive/Desktop/GameWebsite/outputs/qa-recovery-v2/QA_Evidence/reactor-double-refill-pending.txt; C:/Users/mlgjm/OneDrive/Desktop/GameWebsite/outputs/qa-recovery-v2/QA_Evidence/reactor-double-refill-host.txt; C:/Users/mlgjm/OneDrive/Desktop/GameWebsite/outputs/qa-recovery-v2/QA_Evidence/reactor-refill-disposed-host.txt; C:/Users/mlgjm/OneDrive/Desktop/GameWebsite/outputs/qa-recovery-v2/QA_Evidence/reactor-refill-disposal-new-board.txt; C:/Users/mlgjm/OneDrive/Desktop/GameWebsite/outputs/qa-recovery-v2/QA_Evidence/test-reactor-ads.log; historical: C:/Users/mlgjm/OneDrive/Desktop/GameWebsite/outputs/qa-20261006/QA_Evidence/notes/browser-observations.md; V3 journal: C:/Users/mlgjm/OneDrive/Desktop/GameWebsite/outputs/qa-finalization-v3/QA_FINALIZATION_V3_JOURNAL.json#RAD-022</x:v>
      </x:c>
      <x:c r="K30" s="48" t="str">
        <x:v>QA-003</x:v>
      </x:c>
      <x:c r="L30" s="48" t="str">
        <x:v>V2-DEV</x:v>
      </x:c>
      <x:c r="M30" s="48" t="str">
        <x:v>Codex QA</x:v>
      </x:c>
      <x:c r="N30" s="58" t="n">
        <x:v>46301</x:v>
      </x:c>
      <x:c r="O30" s="55" t="str"/>
    </x:row>
    <x:row r="31" ht="76" customHeight="1">
      <x:c r="A31" s="42" t="str">
        <x:v>RAD-023</x:v>
      </x:c>
      <x:c r="B31" s="42" t="str">
        <x:v>LOCAL DEV</x:v>
      </x:c>
      <x:c r="C31" s="42" t="str">
        <x:v>P1 - Required</x:v>
      </x:c>
      <x:c r="D31" s="42" t="str">
        <x:v>No refill in menu/result/pause</x:v>
      </x:c>
      <x:c r="E31" s="48" t="str">
        <x:v>Pass</x:v>
      </x:c>
      <x:c r="F31" s="48" t="str">
        <x:v>PREVIOUS RESULT: Blocked. Blocked by QA-003: Reactor game renderer/player is disconnected or not ready, so this ad integration outcome cannot be observed reliably until the renderer link is healthy.
NEW RESULT: NOT_EXECUTED; RUNNABLE.
REASON: Existing evidence needs a targeted comparison against all expected assertions; no V2 browser execution yet.
SCOPE: Historical evidence only; V2 not executed
V3: Blocked [ENVIRONMENT_SETUP]. Proven already: No complete direct evidence; earlier notes retained above.
Remaining: Required assertions not yet fully verified: No new reward offer in invalid states; no revive/rescue after terminal result. Procedure: Deplete inventory; visit Pause and result/menu.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Required assertions not yet fully verified: No new reward offer in invalid states; no revive/rescue after terminal result. Procedure: Deplete inventory; visit Pause and result/menu.
Session: S02; scope: Historical evidence only; V2 not executed. See QA_FINALIZATION_V3_JOURNAL.json#RAD-023 and HANDOFF_AND_FIX_QUEUE.md.
FINAL AI 4B.2 (2026-10-07): Pass. Actual PowersDepleted0charges→PAUSE: disabled0charge buttons/no refill. Separate fresh depleted PAUSE→MAIN MENU reached INITIALIZE REACTOR menu with0disabledcharges/no rewardoffer. Prior ForceFail produced CORE OVERLOAD result without reward/rescue. All invalid-state offer exclusions observed; FAI-001 prior-result menu label is separately linked RAD-011.
Session/evidence: S18; QA_Evidence/observations.json.</x:v>
      </x:c>
      <x:c r="G31" s="42"/>
      <x:c r="H31" s="42" t="str">
        <x:v>Deplete inventory; visit Pause and result/menu.</x:v>
      </x:c>
      <x:c r="I31" s="42" t="str">
        <x:v>No new reward offer in invalid states; no revive/rescue after terminal result.</x:v>
      </x:c>
      <x:c r="J31" s="48" t="str">
        <x:v>C:/Users/mlgjm/OneDrive/Desktop/GameWebsite/outputs/qa-20261006/QA_Evidence/notes/browser-observations.md; V3 journal: C:/Users/mlgjm/OneDrive/Desktop/GameWebsite/outputs/qa-finalization-v3/QA_FINALIZATION_V3_JOURNAL.json#RAD-023; FINAL AI: C:/Users/mlgjm/OneDrive/Desktop/GameWebsite/outputs/qa-final-ai/2026-10-07_000739/QA_Evidence/observations.json</x:v>
      </x:c>
      <x:c r="K31" s="48" t="str">
        <x:v>QA-003</x:v>
      </x:c>
      <x:c r="L31" s="48" t="str">
        <x:v>S18</x:v>
      </x:c>
      <x:c r="M31" s="48" t="str">
        <x:v>Codex Final AI QA</x:v>
      </x:c>
      <x:c r="N31" s="58" t="n">
        <x:v>46301.8803125</x:v>
      </x:c>
      <x:c r="O31" s="54" t="str"/>
    </x:row>
    <x:row r="32" ht="76" customHeight="1">
      <x:c r="A32" s="44" t="str">
        <x:v>RAD-024</x:v>
      </x:c>
      <x:c r="B32" s="44" t="str">
        <x:v>LOCAL DEV</x:v>
      </x:c>
      <x:c r="C32" s="44" t="str">
        <x:v>P0 - Critical</x:v>
      </x:c>
      <x:c r="D32" s="44" t="str">
        <x:v>Suspend board and audio</x:v>
      </x:c>
      <x:c r="E32" s="48" t="str">
        <x:v>N/A</x:v>
      </x:c>
      <x:c r="F32" s="48" t="str">
        <x:v>PREVIOUS RESULT: Blocked. Blocked by QA-003: Reactor game renderer/player is disconnected or not ready, so this ad integration outcome cannot be observed reliably until the renderer link is healthy.
NEW RESULT: PARTIAL; RUNNABLE.
REASON: Real refill overlay replaced board/control interface. Click in covered board area and Left/Space did not escape presentation or create a new board action; route disposal ended without grant. Audio suspension/prior audible preference and full powers/key matrix remain unverified.
SCOPE: LOCAL DEV 5191
V3: Blocked [ENVIRONMENT_SETUP]. Proven already: Real refill overlay replaced board/control interface. Click in covered board area and Left/Space did not escape presentation or create a new board action; route disposal ended without grant. Audio suspension/prior audible preference and full powers/key matrix remain unverified.
Remaining: Audible suspension/prior preferences and full powers/key input matrix during presentation.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Audible suspension/prior preferences and full powers/key input matrix during presentation.
Session: V2-DEV; scope: LOCAL DEV 5191. See QA_FINALIZATION_V3_JOURNAL.json#RAD-024 and HANDOFF_AND_FIX_QUEUE.md.
FINAL AI 4B.2 (2026-10-07): BLOCKED — HUMAN TESTING REQUIRED [HUMAN_JUDGMENT].
Why AI did not finish: Audible quality, balance, duplication and restoration require human hearing; observable UI/state evidence is retained.
AI already proved: Retained earlier partial evidence: Real refill overlay replaced board/control interface. Click in covered board area and Left/Space did not escape presentation or create a new board action; route disposal ended without grant. Audio suspension/prior audible preference and full powers/key matrix remain unverified.
Remaining: Audible suspension/prior preferences and full powers/key input matrix during presentation.
Human action (HQA-05): 1. Use LOCAL DEV; Headphones/speakers, native Chrome/Edge and at least one physical mobile browser. 2. Create a disposable QA/profile when changing saved state; launch qa:dev or qa:preview for the specified local environment and use the actual printed URL. 3. Execute only the remaining assertion: Audible suspension/prior preferences and full powers/key input matrix during presentation.
Expected: Entire game input/audio suspended, not just canvas; prior sound preferences preserved.
Capture: Pass/Fail per ID, screenshot or timestamped video/state snapshot, device/OS/browser versions, viewport/zoom/DPR and a note; compare prior evidence instead of repeating proven subassertions.
Session/evidence: S18; Historical evidence retained; no fresh case execution claimed. Full grouped instructions: HUMAN_QA_FINAL.md#hqa-05. Historical Bug IDs are retained links, not current confirmed dependencies unless explicitly stated.
FINAL HUMAN QA (2026-10-07): N/A — audible acceptance is intentionally deferred because the current games do not yet have the final audio implementation to certify. Hristo explicitly approved audio-owned cases as N/A, with a separate dedicated Audio QA pass required later.</x:v>
      </x:c>
      <x:c r="G32" s="44"/>
      <x:c r="H32" s="44" t="str">
        <x:v>Request reward during stable play; try cells, powers and keys under overlay.</x:v>
      </x:c>
      <x:c r="I32" s="44" t="str">
        <x:v>Entire game input/audio suspended, not just canvas; prior sound preferences preserved.</x:v>
      </x:c>
      <x:c r="J32" s="48" t="str">
        <x:v>C:/Users/mlgjm/OneDrive/Desktop/GameWebsite/outputs/qa-recovery-v2/QA_Evidence/reactor-double-refill-pending.txt; C:/Users/mlgjm/OneDrive/Desktop/GameWebsite/outputs/qa-recovery-v2/QA_Evidence/reactor-refill-input-overlay.txt; C:/Users/mlgjm/OneDrive/Desktop/GameWebsite/outputs/qa-recovery-v2/QA_Evidence/reactor-refill-disposed-host.txt; historical: C:/Users/mlgjm/OneDrive/Desktop/GameWebsite/outputs/qa-20261006/QA_Evidence/notes/browser-observations.md; V3 journal: C:/Users/mlgjm/OneDrive/Desktop/GameWebsite/outputs/qa-finalization-v3/QA_FINALIZATION_V3_JOURNAL.json#RAD-024
Owner-approved Human QA N/A decision, 2026-10-07; prior AI evidence retained.</x:v>
      </x:c>
      <x:c r="K32" s="48" t="str">
        <x:v>QA-003</x:v>
      </x:c>
      <x:c r="L32" s="48" t="str">
        <x:v>S20</x:v>
      </x:c>
      <x:c r="M32" s="48" t="str">
        <x:v>Hristo</x:v>
      </x:c>
      <x:c r="N32" s="58" t="n">
        <x:v>46302</x:v>
      </x:c>
      <x:c r="O32" s="55" t="str"/>
    </x:row>
    <x:row r="33" ht="76" customHeight="1">
      <x:c r="A33" s="42" t="str">
        <x:v>RAD-025</x:v>
      </x:c>
      <x:c r="B33" s="42" t="str">
        <x:v>LOCAL DEV</x:v>
      </x:c>
      <x:c r="C33" s="42" t="str">
        <x:v>P1 - Required</x:v>
      </x:c>
      <x:c r="D33" s="42" t="str">
        <x:v>Selection/arming restoration</x:v>
      </x:c>
      <x:c r="E33" s="48" t="str">
        <x:v>Pass</x:v>
      </x:c>
      <x:c r="F33" s="48" t="str">
        <x:v>PREVIOUS RESULT: Blocked. Blocked by QA-003: Reactor game renderer/player is disconnected or not ready, so this ad integration outcome cannot be observed reliably until the renderer link is healthy.
NEW RESULT: NOT_EXECUTED; RUNNABLE.
REASON: Existing evidence needs a targeted comparison against all expected assertions; no V2 browser execution yet.
SCOPE: Historical evidence only; V2 not executed
V3: Blocked [ENVIRONMENT_SETUP]. Proven already: No complete direct evidence; earlier notes retained above.
Remaining: Required assertions not yet fully verified: Pointer-down state cancelled safely; committed selection/arming follows documented behavior; no phantom cell action. Procedure: Create an uncommitted gesture/selection; use DEV preview then return.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Required assertions not yet fully verified: Pointer-down state cancelled safely; committed selection/arming follows documented behavior; no phantom cell action. Procedure: Create an uncommitted gesture/selection; use DEV preview then return.
Session: S02; scope: Historical evidence only; V2 not executed. See QA_FINALIZATION_V3_JOURNAL.json#RAD-025 and HANDOFF_AND_FIX_QUEUE.md.
FINAL AI 4B.2 (2026-10-07): BLOCKED — HUMAN TESTING REQUIRED [TOOL_LIMITATION].
Why AI did not finish: Exact board-cell/pointer or resolving-state delivery and/or full hover/touch help assertions are not available through the supported API. Accessible subassertions are retained.
AI already proved: No complete independent evidence for the remaining assertions; historical observations remain in the workbook.
Remaining: Pointer-down state cancelled safely; committed selection/arming follows documented behavior; no phantom cell action. Procedure: Create an uncommitted gesture/selection; use DEV preview then return.
Human action (HQA-19): 1. Use LOCAL DEV; Native browser with positioned pointer; Powers Depleted / Resolving Move Setup fixtures are prerequisites only. 2. Create a disposable QA/profile when changing saved state; launch qa:dev or qa:preview for the specified local environment and use the actual printed URL. 3. Execute only the remaining assertion: Pointer-down state cancelled safely; committed selection/arming follows documented behavior; no phantom cell action. Procedure: Create an uncommitted gesture/selection; use DEV preview then return.
Expected: Pointer-down state cancelled safely; committed selection/arming follows documented behavior; no phantom cell action.
Capture: Pass/Fail per ID, screenshot or timestamped video/state snapshot, device/OS/browser versions, viewport/zoom/DPR and a note; compare prior evidence instead of repeating proven subassertions.
Session/evidence: S18; Historical evidence retained; no fresh case execution claimed. Full grouped instructions: HUMAN_QA_FINAL.md#hqa-19.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33" s="42"/>
      <x:c r="H33" s="42" t="str">
        <x:v>Create an uncommitted gesture/selection; use DEV preview then return.</x:v>
      </x:c>
      <x:c r="I33" s="42" t="str">
        <x:v>Pointer-down state cancelled safely; committed selection/arming follows documented behavior; no phantom cell action.</x:v>
      </x:c>
      <x:c r="J33" s="48" t="str">
        <x:v>C:/Users/mlgjm/OneDrive/Desktop/GameWebsite/outputs/qa-20261006/QA_Evidence/notes/browser-observations.md; V3 journal: C:/Users/mlgjm/OneDrive/Desktop/GameWebsite/outputs/qa-finalization-v3/QA_FINALIZATION_V3_JOURNAL.json#RAD-025
Human QA completion statement, 2026-10-07; prior AI evidence retained.</x:v>
      </x:c>
      <x:c r="K33" s="48" t="str">
        <x:v>QA-003</x:v>
      </x:c>
      <x:c r="L33" s="48" t="str">
        <x:v>S20</x:v>
      </x:c>
      <x:c r="M33" s="48" t="str">
        <x:v>Hristo</x:v>
      </x:c>
      <x:c r="N33" s="58" t="n">
        <x:v>46302</x:v>
      </x:c>
      <x:c r="O33" s="54" t="str"/>
    </x:row>
    <x:row r="34" ht="76" customHeight="1">
      <x:c r="A34" s="44" t="str">
        <x:v>RAD-026</x:v>
      </x:c>
      <x:c r="B34" s="44" t="str">
        <x:v>LOCAL DEV</x:v>
      </x:c>
      <x:c r="C34" s="44" t="str">
        <x:v>P0 - Critical</x:v>
      </x:c>
      <x:c r="D34" s="44" t="str">
        <x:v>Fresh run resets allowances</x:v>
      </x:c>
      <x:c r="E34" s="48" t="str">
        <x:v>Pass</x:v>
      </x:c>
      <x:c r="F34" s="48" t="str">
        <x:v>PREVIOUS RESULT: Blocked. Blocked by QA-003: Reactor game renderer/player is disconnected or not ready, so this ad integration outcome cannot be observed reliably until the renderer link is healthy.
NEW RESULT: PASS; COMPLETED.
REASON: EarlierbothshownSkipsconsumedindependentallowances on199b…; laternormalRestartcreatesnewIDwithsixcells,onefreeeach,attemptfalseforboth. Stalecallbackinvalidationunitcovered66tests; notforgedGUI.
SCOPE: LOCAL DEV browser + rules baseline
V3: Pass; retained V2 evidence, not rerun. 
Session: V2-DEV; scope: LOCAL DEV browser + rules baseline. See QA_FINALIZATION_V3_JOURNAL.json#RAD-026 and HANDOFF_AND_FIX_QUEUE.md.
Retained prior verified evidence — not rerun in Final AI pass.</x:v>
      </x:c>
      <x:c r="G34" s="44"/>
      <x:c r="H34" s="44" t="str">
        <x:v>Consume both attempts, then Start a new run.</x:v>
      </x:c>
      <x:c r="I34" s="44" t="str">
        <x:v>New runId and one free charge each; both attempt allowances fresh; old callbacks invalid.</x:v>
      </x:c>
      <x:c r="J34" s="48" t="str">
        <x:v>C:/Users/mlgjm/OneDrive/Desktop/GameWebsite/outputs/qa-recovery-v2/QA_Evidence/reactor-cool-skip.txt; C:/Users/mlgjm/OneDrive/Desktop/GameWebsite/outputs/qa-recovery-v2/QA_Evidence/reactor-upgrade-skip.txt; C:/Users/mlgjm/OneDrive/Desktop/GameWebsite/outputs/qa-recovery-v2/QA_Evidence/reactor-default-normal-restart.txt; C:/Users/mlgjm/OneDrive/Desktop/GameWebsite/outputs/qa-recovery-v2/QA_Evidence/test-reactor-ads.log; historical: C:/Users/mlgjm/OneDrive/Desktop/GameWebsite/outputs/qa-20261006/QA_Evidence/notes/browser-observations.md; V3 journal: C:/Users/mlgjm/OneDrive/Desktop/GameWebsite/outputs/qa-finalization-v3/QA_FINALIZATION_V3_JOURNAL.json#RAD-026</x:v>
      </x:c>
      <x:c r="K34" s="48" t="str">
        <x:v>QA-003</x:v>
      </x:c>
      <x:c r="L34" s="48" t="str">
        <x:v>V2-DEV</x:v>
      </x:c>
      <x:c r="M34" s="48" t="str">
        <x:v>Codex QA</x:v>
      </x:c>
      <x:c r="N34" s="58" t="n">
        <x:v>46301</x:v>
      </x:c>
      <x:c r="O34" s="55" t="str"/>
    </x:row>
    <x:row r="35" ht="76" customHeight="1">
      <x:c r="A35" s="42" t="str">
        <x:v>RAD-027</x:v>
      </x:c>
      <x:c r="B35" s="42" t="str">
        <x:v>LOCAL DEV</x:v>
      </x:c>
      <x:c r="C35" s="42" t="str">
        <x:v>P1 - Required</x:v>
      </x:c>
      <x:c r="D35" s="42" t="str">
        <x:v>Granted vs consumed statistics</x:v>
      </x:c>
      <x:c r="E35" s="48" t="str">
        <x:v>Pass</x:v>
      </x:c>
      <x:c r="F35" s="48" t="str">
        <x:v>PREVIOUS RESULT: Blocked. Blocked by QA-003: Reactor game renderer/player is disconnected or not ready, so this ad integration outcome cannot be observed reliably until the renderer link is healthy.
NEW RESULT: PASS; COMPLETED.
REASON: Starting granted1/used0, successful refill granted2; normal Cool use used1; DEV depletion never raised consumption. Upgrade likewise granted2 after actual completion and used1 from normal power.
SCOPE: LOCAL DEV 5191
V3: Pass; retained V2 evidence, not rerun. 
Session: V2-DEV; scope: LOCAL DEV 5191. See QA_FINALIZATION_V3_JOURNAL.json#RAD-027 and HANDOFF_AND_FIX_QUEUE.md.
Retained prior verified evidence — not rerun in Final AI pass.</x:v>
      </x:c>
      <x:c r="G35" s="42"/>
      <x:c r="H35" s="42" t="str">
        <x:v>Use free charge, reward refill, use it; compare DEV session counters.</x:v>
      </x:c>
      <x:c r="I35" s="42" t="str">
        <x:v>Actual granted and actual consumed counted separately; no starting-minus-remaining negative/misleading usage.</x:v>
      </x:c>
      <x:c r="J35" s="48" t="str">
        <x:v>C:/Users/mlgjm/OneDrive/Desktop/GameWebsite/outputs/qa-recovery-v2/QA_Evidence/reactor-post-move-diagnostics.txt; C:/Users/mlgjm/OneDrive/Desktop/GameWebsite/outputs/qa-recovery-v2/QA_Evidence/reactor-upgrade-refill-diagnostics.txt; historical: C:/Users/mlgjm/OneDrive/Desktop/GameWebsite/outputs/qa-20261006/QA_Evidence/notes/browser-observations.md; V3 journal: C:/Users/mlgjm/OneDrive/Desktop/GameWebsite/outputs/qa-finalization-v3/QA_FINALIZATION_V3_JOURNAL.json#RAD-027</x:v>
      </x:c>
      <x:c r="K35" s="48" t="str">
        <x:v>QA-003</x:v>
      </x:c>
      <x:c r="L35" s="48" t="str">
        <x:v>V2-DEV</x:v>
      </x:c>
      <x:c r="M35" s="48" t="str">
        <x:v>Codex QA</x:v>
      </x:c>
      <x:c r="N35" s="58" t="n">
        <x:v>46301</x:v>
      </x:c>
      <x:c r="O35" s="54" t="str"/>
    </x:row>
    <x:row r="36" ht="76" customHeight="1">
      <x:c r="A36" s="44" t="str">
        <x:v>RAD-028</x:v>
      </x:c>
      <x:c r="B36" s="44" t="str">
        <x:v>LOCAL DEV</x:v>
      </x:c>
      <x:c r="C36" s="44" t="str">
        <x:v>P1 - Required</x:v>
      </x:c>
      <x:c r="D36" s="44" t="str">
        <x:v>DEV depletion is not consumption</x:v>
      </x:c>
      <x:c r="E36" s="48" t="str">
        <x:v>Pass</x:v>
      </x:c>
      <x:c r="F36" s="48" t="str">
        <x:v>PREVIOUS RESULT: Blocked. Blocked by QA-003: Reactor game renderer/player is disconnected or not ready, so this ad integration outcome cannot be observed reliably until the renderer link is healthy.
NEW RESULT: PASS; COMPLETED.
REASON: Depleted Cool and Upgrade inventories to zero; each remained granted 1, used 0 and attempt false before reward. No reward acknowledgment from depletion.
SCOPE: LOCAL DEV 5191
V3: Pass; retained V2 evidence, not rerun. 
Session: V2-DEV; scope: LOCAL DEV 5191. See QA_FINALIZATION_V3_JOURNAL.json#RAD-028 and HANDOFF_AND_FIX_QUEUE.md.
Retained prior verified evidence — not rerun in Final AI pass.</x:v>
      </x:c>
      <x:c r="G36" s="44"/>
      <x:c r="H36" s="44" t="str">
        <x:v>Use DEV Deplete Cool/Upgrade; inspect counts and acknowledgments.</x:v>
      </x:c>
      <x:c r="I36" s="44" t="str">
        <x:v>Only inventory set zero; no fabricated use count, reward or receipt.</x:v>
      </x:c>
      <x:c r="J36" s="48" t="str">
        <x:v>C:/Users/mlgjm/OneDrive/Desktop/GameWebsite/outputs/qa-recovery-v2/QA_Evidence/reactor-reward-complete.txt; C:/Users/mlgjm/OneDrive/Desktop/GameWebsite/outputs/qa-recovery-v2/QA_Evidence/reactor-and-ad-connected.txt; historical: C:/Users/mlgjm/OneDrive/Desktop/GameWebsite/outputs/qa-20261006/QA_Evidence/notes/browser-observations.md; V3 journal: C:/Users/mlgjm/OneDrive/Desktop/GameWebsite/outputs/qa-finalization-v3/QA_FINALIZATION_V3_JOURNAL.json#RAD-028</x:v>
      </x:c>
      <x:c r="K36" s="48" t="str">
        <x:v>QA-003</x:v>
      </x:c>
      <x:c r="L36" s="48" t="str">
        <x:v>V2-DEV</x:v>
      </x:c>
      <x:c r="M36" s="48" t="str">
        <x:v>Codex QA</x:v>
      </x:c>
      <x:c r="N36" s="58" t="n">
        <x:v>46301</x:v>
      </x:c>
      <x:c r="O36" s="55" t="str"/>
    </x:row>
    <x:row r="37" ht="76" customHeight="1">
      <x:c r="A37" s="42" t="str">
        <x:v>RAD-029</x:v>
      </x:c>
      <x:c r="B37" s="42" t="str">
        <x:v>LOCAL DEV</x:v>
      </x:c>
      <x:c r="C37" s="42" t="str">
        <x:v>P1 - Required</x:v>
      </x:c>
      <x:c r="D37" s="42" t="str">
        <x:v>Starting-charge controls next run</x:v>
      </x:c>
      <x:c r="E37" s="48" t="str">
        <x:v>Pass</x:v>
      </x:c>
      <x:c r="F37" s="48" t="str">
        <x:v>PREVIOUS RESULT: Blocked. Blocked by QA-003: Reactor game renderer/player is disconnected or not ready, so this ad integration outcome cannot be observed reliably until the renderer link is healthy.
NEW RESULT: PASS; COMPLETED.
REASON: ChangingNEXT-RUNstartingCool2/Upgrade3 leavesactive1/1unchanged; normalRestartcreates62b8f8f1sixcellboardwith2/3grantedcounts. ResetDefaultsandnormalRestartrestore1/1.
SCOPE: LOCAL DEV 5191
V3: Pass; retained V2 evidence, not rerun. 
Session: V2-DEV; scope: LOCAL DEV 5191. See QA_FINALIZATION_V3_JOURNAL.json#RAD-029 and HANDOFF_AND_FIX_QUEUE.md.
Retained prior verified evidence — not rerun in Final AI pass.</x:v>
      </x:c>
      <x:c r="G37" s="42" t="str">
        <x:v>RAM-only config; test profile.</x:v>
      </x:c>
      <x:c r="H37" s="42" t="str">
        <x:v>Change starting Cool/Upgrade in Ads Integration; compare active and next run.</x:v>
      </x:c>
      <x:c r="I37" s="42" t="str">
        <x:v>Active inventory not silently rewritten; next run uses test config; reset to default one afterward.</x:v>
      </x:c>
      <x:c r="J37" s="48" t="str">
        <x:v>C:/Users/mlgjm/OneDrive/Desktop/GameWebsite/outputs/qa-recovery-v2/QA_Evidence/reactor-next-run-charge-controls.txt; C:/Users/mlgjm/OneDrive/Desktop/GameWebsite/outputs/qa-recovery-v2/QA_Evidence/reactor-default-normal-restart.txt; historical: C:/Users/mlgjm/OneDrive/Desktop/GameWebsite/outputs/qa-20261006/QA_Evidence/notes/browser-observations.md; V3 journal: C:/Users/mlgjm/OneDrive/Desktop/GameWebsite/outputs/qa-finalization-v3/QA_FINALIZATION_V3_JOURNAL.json#RAD-029</x:v>
      </x:c>
      <x:c r="K37" s="48" t="str">
        <x:v>QA-003</x:v>
      </x:c>
      <x:c r="L37" s="48" t="str">
        <x:v>V2-DEV</x:v>
      </x:c>
      <x:c r="M37" s="48" t="str">
        <x:v>Codex QA</x:v>
      </x:c>
      <x:c r="N37" s="58" t="n">
        <x:v>46301</x:v>
      </x:c>
      <x:c r="O37" s="54" t="str"/>
    </x:row>
    <x:row r="38" ht="76" customHeight="1">
      <x:c r="A38" s="44" t="str">
        <x:v>RAD-030</x:v>
      </x:c>
      <x:c r="B38" s="44" t="str">
        <x:v>LOCAL DEV</x:v>
      </x:c>
      <x:c r="C38" s="44" t="str">
        <x:v>P1 - Required</x:v>
      </x:c>
      <x:c r="D38" s="44" t="str">
        <x:v>DEV tools locked while busy</x:v>
      </x:c>
      <x:c r="E38" s="48" t="str">
        <x:v>Pass</x:v>
      </x:c>
      <x:c r="F38" s="48" t="str">
        <x:v>PREVIOUS RESULT: Blocked. Blocked by QA-003: Reactor game renderer/player is disconnected or not ready, so this ad integration outcome cannot be observed reliably until the renderer link is healthy.
NEW RESULT: PARTIAL; RUNNABLE.
REASON: During5sresolvingturnCtrlShiftDdidnotexposemutationcontrols; attemptedFreshRunlocatorabsent. Onceidlepanelopensagain andsameboard/counterspreserved. Already-open mutationcontrols/ad-busyhelp guardrail assertionsnotfullyproven.
SCOPE: LOCAL DEV resolving UI guard
V3: Blocked [ENVIRONMENT_SETUP]. Proven already: During5sresolvingturnCtrlShiftDdidnotexposemutationcontrols; attemptedFreshRunlocatorabsent. Onceidlepanelopensagain andsameboard/counterspreserved. Already-open mutationcontrols/ad-busyhelp guardrail assertionsnotfullyproven.
Remaining: Already-open mutation controls and ad-busy help/guardrails; closed-panel resolving lock already proven.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Already-open mutation controls and ad-busy help/guardrails; closed-panel resolving lock already proven.
Session: V2-DEV; scope: LOCAL DEV resolving UI guard. See QA_FINALIZATION_V3_JOURNAL.json#RAD-030 and HANDOFF_AND_FIX_QUEUE.md.
FINAL AI 4B.2 (2026-10-07): BLOCKED — HUMAN TESTING REQUIRED [TOOL_LIMITATION].
Why AI did not finish: The remaining native hover, touch, hidden-tab, key delivery, motion emulation or attributed diagnostic capability is not exposed by this API.
AI already proved: During actual Cool rewarded presentation, Fresh Run click did not replace run b78f0d3c; completion granted Cool exactly once. DEV readout pending cool/presentation true then false.
Remaining: Still test all unsafe config/fixture controls during an actual resolving move and inspect help; one guarded fixture attempt does not prove every mutation.
Human action (HQA-19): 1. Use LOCAL DEV; Native browser with positioned pointer; Powers Depleted / Resolving Move Setup fixtures are prerequisites only. 2. Create a disposable QA/profile when changing saved state; launch qa:dev or qa:preview for the specified local environment and use the actual printed URL. 3. Execute only the remaining assertion: Still test all unsafe config/fixture controls during an actual resolving move and inspect help; one guarded fixture attempt does not prove every mutation.
Expected: Unsafe mutations rejected/disabled; help explains; no board corruption or host cap bypass.
Capture: Pass/Fail per ID, screenshot or timestamped video/state snapshot, device/OS/browser versions, viewport/zoom/DPR and a note; compare prior evidence instead of repeating proven subassertions.
Session/evidence: S18; QA_Evidence/observations.json. Full grouped instructions: HUMAN_QA_FINAL.md#hqa-19.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38" s="44"/>
      <x:c r="H38" s="44" t="str">
        <x:v>Try state-changing fixtures/config during resolving and ad presentation.</x:v>
      </x:c>
      <x:c r="I38" s="44" t="str">
        <x:v>Unsafe mutations rejected/disabled; help explains; no board corruption or host cap bypass.</x:v>
      </x:c>
      <x:c r="J38" s="48" t="str">
        <x:v>C:/Users/mlgjm/OneDrive/Desktop/GameWebsite/outputs/qa-recovery-v2/QA_Evidence/reactor-nonterminal-merge-queued.txt; C:/Users/mlgjm/OneDrive/Desktop/GameWebsite/outputs/qa-recovery-v2/QA_Evidence/reactor-nonterminal-merge-settled.txt; historical: C:/Users/mlgjm/OneDrive/Desktop/GameWebsite/outputs/qa-20261006/QA_Evidence/notes/browser-observations.md; V3 journal: C:/Users/mlgjm/OneDrive/Desktop/GameWebsite/outputs/qa-finalization-v3/QA_FINALIZATION_V3_JOURNAL.json#RAD-030; FINAL AI: C:/Users/mlgjm/OneDrive/Desktop/GameWebsite/outputs/qa-final-ai/2026-10-07_000739/QA_Evidence/observations.json
Human QA completion statement, 2026-10-07; prior AI evidence retained.</x:v>
      </x:c>
      <x:c r="K38" s="48" t="str">
        <x:v>QA-003</x:v>
      </x:c>
      <x:c r="L38" s="48" t="str">
        <x:v>S20</x:v>
      </x:c>
      <x:c r="M38" s="48" t="str">
        <x:v>Hristo</x:v>
      </x:c>
      <x:c r="N38" s="58" t="n">
        <x:v>46302</x:v>
      </x:c>
      <x:c r="O38" s="55" t="str"/>
    </x:row>
    <x:row r="39" ht="76" customHeight="1">
      <x:c r="A39" s="42" t="str">
        <x:v>RAD-031</x:v>
      </x:c>
      <x:c r="B39" s="42" t="str">
        <x:v>LOCAL DEV</x:v>
      </x:c>
      <x:c r="C39" s="42" t="str">
        <x:v>P1 - Required</x:v>
      </x:c>
      <x:c r="D39" s="42" t="str">
        <x:v>Why Ads and help</x:v>
      </x:c>
      <x:c r="E39" s="48" t="str">
        <x:v>Pass</x:v>
      </x:c>
      <x:c r="F39" s="48" t="str">
        <x:v>PREVIOUS RESULT: Blocked. Blocked by QA-003: Reactor game renderer/player is disconnected or not ready, so this ad integration outcome cannot be observed reliably until the renderer link is healthy.
NEW RESULT: NOT_EXECUTED; RUNNABLE.
REASON: Existing evidence needs a targeted comparison against all expected assertions; no V2 browser execution yet.
SCOPE: Historical evidence only; V2 not executed
V3: Blocked [ENVIRONMENT_SETUP]. Proven already: No complete direct evidence; earlier notes retained above.
Remaining: Required assertions not yet fully verified: Readable mock-only explanation, correct focus; all new controls explained without firing actions. Procedure: Open menu Why Ads; close/Escape; hover/focus/tap new Ads Integration help.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Required assertions not yet fully verified: Readable mock-only explanation, correct focus; all new controls explained without firing actions. Procedure: Open menu Why Ads; close/Escape; hover/focus/tap new Ads Integration help.
Session: S02; scope: Historical evidence only; V2 not executed. See QA_FINALIZATION_V3_JOURNAL.json#RAD-031 and HANDOFF_AND_FIX_QUEUE.md.
FINAL AI 4B.2 (2026-10-07): BLOCKED — HUMAN TESTING REQUIRED [TOOL_LIMITATION].
Why AI did not finish: The remaining native hover, touch, hidden-tab, key delivery, motion emulation or attributed diagnostic capability is not exposed by this API.
AI already proved: No complete independent evidence for the remaining assertions; historical observations remain in the workbook.
Remaining: Readable mock-only explanation, correct focus; all new controls explained without firing actions. Procedure: Open menu Why Ads; close/Escape; hover/focus/tap new Ads Integration help.
Human action (HQA-19): 1. Use LOCAL DEV; Native browser with positioned pointer; Powers Depleted / Resolving Move Setup fixtures are prerequisites only. 2. Create a disposable QA/profile when changing saved state; launch qa:dev or qa:preview for the specified local environment and use the actual printed URL. 3. Execute only the remaining assertion: Readable mock-only explanation, correct focus; all new controls explained without firing actions. Procedure: Open menu Why Ads; close/Escape; hover/focus/tap new Ads Integration help.
Expected: Readable mock-only explanation, correct focus; all new controls explained without firing actions.
Capture: Pass/Fail per ID, screenshot or timestamped video/state snapshot, device/OS/browser versions, viewport/zoom/DPR and a note; compare prior evidence instead of repeating proven subassertions.
Session/evidence: S18; Historical evidence retained; no fresh case execution claimed. Full grouped instructions: HUMAN_QA_FINAL.md#hqa-19.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39" s="42"/>
      <x:c r="H39" s="42" t="str">
        <x:v>Open menu Why Ads; close/Escape; hover/focus/tap new Ads Integration help.</x:v>
      </x:c>
      <x:c r="I39" s="42" t="str">
        <x:v>Readable mock-only explanation, correct focus; all new controls explained without firing actions.</x:v>
      </x:c>
      <x:c r="J39" s="48" t="str">
        <x:v>C:/Users/mlgjm/OneDrive/Desktop/GameWebsite/outputs/qa-20261006/QA_Evidence/notes/browser-observations.md; V3 journal: C:/Users/mlgjm/OneDrive/Desktop/GameWebsite/outputs/qa-finalization-v3/QA_FINALIZATION_V3_JOURNAL.json#RAD-031
Human QA completion statement, 2026-10-07; prior AI evidence retained.</x:v>
      </x:c>
      <x:c r="K39" s="48" t="str">
        <x:v>QA-003</x:v>
      </x:c>
      <x:c r="L39" s="48" t="str">
        <x:v>S20</x:v>
      </x:c>
      <x:c r="M39" s="48" t="str">
        <x:v>Hristo</x:v>
      </x:c>
      <x:c r="N39" s="58" t="n">
        <x:v>46302</x:v>
      </x:c>
      <x:c r="O39" s="54" t="str"/>
    </x:row>
    <x:row r="40" ht="76" customHeight="1">
      <x:c r="A40" s="44" t="str">
        <x:v>RAD-032</x:v>
      </x:c>
      <x:c r="B40" s="44" t="str">
        <x:v>LOCAL DEV</x:v>
      </x:c>
      <x:c r="C40" s="44" t="str">
        <x:v>P0 - Critical</x:v>
      </x:c>
      <x:c r="D40" s="44" t="str">
        <x:v>Cross-game shared policy</x:v>
      </x:c>
      <x:c r="E40" s="48" t="str">
        <x:v>Pass</x:v>
      </x:c>
      <x:c r="F40" s="48" t="str">
        <x:v>PREVIOUS RESULT: Blocked. Blocked by QA-003: Reactor game renderer/player is disconnected or not ready, so this ad integration outcome cannot be observed reliably until the renderer link is healthy.
NEW RESULT: PASS; COMPLETED.
REASON: WebsiteAdDEV renderer/placements updateOrbit→Reactor→Home→Orbit; shown/startup/sessioncap historyretainedacrossrouting, HomeNO/NONE renderer, newgamesYES/readywithcorrectplacementlists. Sharedcapandcooldownverifiedindependently.
SCOPE: LOCAL DEV 5191
V3: Pass; retained V2 evidence, not rerun. 
Session: V2-DEV; scope: LOCAL DEV 5191. See QA_FINALIZATION_V3_JOURNAL.json#RAD-032 and HANDOFF_AND_FIX_QUEUE.md.
Retained prior verified evidence — not rerun in Final AI pass.</x:v>
      </x:c>
      <x:c r="G40" s="44"/>
      <x:c r="H40" s="44" t="str">
        <x:v>Show ad in Reactor then navigate Orbit and back; inspect clocks/status.</x:v>
      </x:c>
      <x:c r="I40" s="44" t="str">
        <x:v>Current game/placements correct; shared session safety not reset merely by routing; no stale renderer.</x:v>
      </x:c>
      <x:c r="J40" s="48" t="str">
        <x:v>C:/Users/mlgjm/OneDrive/Desktop/GameWebsite/outputs/qa-recovery-v2/QA_Evidence/ad-home-no-renderer.txt; C:/Users/mlgjm/OneDrive/Desktop/GameWebsite/outputs/qa-recovery-v2/QA_Evidence/ad-navigation-new-game.txt; C:/Users/mlgjm/OneDrive/Desktop/GameWebsite/outputs/qa-recovery-v2/QA_Evidence/ad-panel-desktop-frame-dimensions.json; historical: C:/Users/mlgjm/OneDrive/Desktop/GameWebsite/outputs/qa-20261006/QA_Evidence/notes/browser-observations.md; V3 journal: C:/Users/mlgjm/OneDrive/Desktop/GameWebsite/outputs/qa-finalization-v3/QA_FINALIZATION_V3_JOURNAL.json#RAD-032</x:v>
      </x:c>
      <x:c r="K40" s="48" t="str">
        <x:v>QA-003</x:v>
      </x:c>
      <x:c r="L40" s="48" t="str">
        <x:v>V2-DEV</x:v>
      </x:c>
      <x:c r="M40" s="48" t="str">
        <x:v>Codex QA</x:v>
      </x:c>
      <x:c r="N40" s="58" t="n">
        <x:v>46301</x:v>
      </x:c>
      <x:c r="O40" s="55" t="str"/>
    </x:row>
    <x:row r="41" ht="76" customHeight="1">
      <x:c r="A41" s="42" t="str">
        <x:v>RAD-033</x:v>
      </x:c>
      <x:c r="B41" s="42" t="str">
        <x:v>LOCAL DEV</x:v>
      </x:c>
      <x:c r="C41" s="42" t="str">
        <x:v>P0 - Critical</x:v>
      </x:c>
      <x:c r="D41" s="42" t="str">
        <x:v>Resize/fullscreen during presentation</x:v>
      </x:c>
      <x:c r="E41" s="48" t="str">
        <x:v>Pass</x:v>
      </x:c>
      <x:c r="F41" s="48" t="str">
        <x:v>PREVIOUS RESULT: Blocked. Blocked by QA-003: Reactor game renderer/player is disconnected or not ready, so this ad integration outcome cannot be observed reliably until the renderer link is healthy.
NEW RESULT: NOT_EXECUTED; RUNNABLE.
REASON: Existing evidence needs a targeted comparison against all expected assertions; no V2 browser execution yet.
SCOPE: Historical evidence only; V2 not executed
V3: Blocked [ENVIRONMENT_SETUP]. Proven already: No complete direct evidence; earlier notes retained above.
Remaining: Required assertions not yet fully verified: Whole iframe presentation fits; timer and board remain unchanged; no internal scroll. Procedure: Rotate/resize and enter/exit fullscreen while courtesy/mock active.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Required assertions not yet fully verified: Whole iframe presentation fits; timer and board remain unchanged; no internal scroll. Procedure: Rotate/resize and enter/exit fullscreen while courtesy/mock active.
Session: S02; scope: Historical evidence only; V2 not executed. See QA_FINALIZATION_V3_JOURNAL.json#RAD-033 and HANDOFF_AND_FIX_QUEUE.md.
FINAL AI 4B.2 (2026-10-07): BLOCKED — HUMAN TESTING REQUIRED [BUDGET / HUMAN QA HANDOFF].
Why AI did not finish: The bounded Final AI testing window did not complete the full compound scenario. This remains AI-suitable or mixed work, handed to Human QA rather than claiming all practical AI testing complete.
AI already proved: DEV Reactor generic rewarded presentation resized through all13viewport sizes with original paused board preserved; DOM geometry/mounted renderer captured.
Remaining: Real Cool/Upgrade pending resize and native fullscreen transitions still require supported native browser with pointer input, verify inventory/selection preserved and one completion.
Human action (HQA-19): 1. Use LOCAL DEV; Native browser with positioned pointer; Powers Depleted / Resolving Move Setup fixtures are prerequisites only. 2. Create a disposable QA/profile when changing saved state; launch qa:dev or qa:preview for the specified local environment and use the actual printed URL. 3. Execute only the remaining assertion: Real Cool/Upgrade pending resize and native fullscreen transitions still require supported native browser with pointer input, verify inventory/selection preserved and one completion.
Expected: Whole iframe presentation fits; timer and board remain unchanged; no internal scroll.
Capture: Pass/Fail per ID, screenshot or timestamped video/state snapshot, device/OS/browser versions, viewport/zoom/DPR and a note; compare prior evidence instead of repeating proven subassertions.
Session/evidence: S18; QA_Evidence/observations.json. Full grouped instructions: HUMAN_QA_FINAL.md#hqa-19.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41" s="42"/>
      <x:c r="H41" s="42" t="str">
        <x:v>Rotate/resize and enter/exit fullscreen while courtesy/mock active.</x:v>
      </x:c>
      <x:c r="I41" s="42" t="str">
        <x:v>Whole iframe presentation fits; timer and board remain unchanged; no internal scroll.</x:v>
      </x:c>
      <x:c r="J41" s="48" t="str">
        <x:v>C:/Users/mlgjm/OneDrive/Desktop/GameWebsite/outputs/qa-20261006/QA_Evidence/notes/browser-observations.md; V3 journal: C:/Users/mlgjm/OneDrive/Desktop/GameWebsite/outputs/qa-finalization-v3/QA_FINALIZATION_V3_JOURNAL.json#RAD-033; FINAL AI: C:/Users/mlgjm/OneDrive/Desktop/GameWebsite/outputs/qa-final-ai/2026-10-07_000739/QA_Evidence/observations.json
Human QA completion statement, 2026-10-07; prior AI evidence retained.</x:v>
      </x:c>
      <x:c r="K41" s="48" t="str">
        <x:v>QA-003</x:v>
      </x:c>
      <x:c r="L41" s="48" t="str">
        <x:v>S20</x:v>
      </x:c>
      <x:c r="M41" s="48" t="str">
        <x:v>Hristo</x:v>
      </x:c>
      <x:c r="N41" s="58" t="n">
        <x:v>46302</x:v>
      </x:c>
      <x:c r="O41" s="54" t="str"/>
    </x:row>
    <x:row r="42" ht="76" customHeight="1">
      <x:c r="A42" s="44" t="str">
        <x:v>RAD-034</x:v>
      </x:c>
      <x:c r="B42" s="44" t="str">
        <x:v>LOCAL DEV</x:v>
      </x:c>
      <x:c r="C42" s="44" t="str">
        <x:v>P1 - Required</x:v>
      </x:c>
      <x:c r="D42" s="44" t="str">
        <x:v>Reactor session export</x:v>
      </x:c>
      <x:c r="E42" s="48" t="str">
        <x:v>Pass</x:v>
      </x:c>
      <x:c r="F42" s="48" t="str">
        <x:v>PREVIOUS RESULT: Blocked. Blocked by QA-003: Reactor game renderer/player is disconnected or not ready, so this ad integration outcome cannot be observed reliably until the renderer link is healthy.
NEW RESULT: PASS; COMPLETED.
REASON: RealqualifiedUpgradegrantfollowedmanualuse twice total; acceptedmoveatheatlimit54 endsFAILonce. ActualJSON328bytesandCSV217bytesparsewithoneentry, upgradeGranted2/Used2,CoolGranted1/Used0,moves1,55s; CSVelapsedWallSeconds explicit. No fakeactiveplayduration. RAMlog1.
SCOPE: LOCAL DEV 5191
V3: Pass; retained V2 evidence, not rerun. 
Session: V2-DEV; scope: LOCAL DEV 5191. See QA_FINALIZATION_V3_JOURNAL.json#RAD-034 and HANDOFF_AND_FIX_QUEUE.md.
Retained prior verified evidence — not rerun in Final AI pass.</x:v>
      </x:c>
      <x:c r="G42" s="44"/>
      <x:c r="H42" s="44" t="str">
        <x:v>Complete a run with actual power grants/uses; export JSON/CSV and open both.</x:v>
      </x:c>
      <x:c r="I42" s="44" t="str">
        <x:v>Actual use/grant counts correct; duration labelled elapsed wall time includes pauses/ads; logs session-only.</x:v>
      </x:c>
      <x:c r="J42" s="48" t="str">
        <x:v>C:/Users/mlgjm/OneDrive/Desktop/GameWebsite/outputs/qa-recovery-v2/QA_Evidence/reactor-session-export.json; C:/Users/mlgjm/OneDrive/Desktop/GameWebsite/outputs/qa-recovery-v2/QA_Evidence/reactor-session-export.csv; C:/Users/mlgjm/OneDrive/Desktop/GameWebsite/outputs/qa-recovery-v2/QA_Evidence/reactor-charged-run-terminal.txt; historical: C:/Users/mlgjm/OneDrive/Desktop/GameWebsite/outputs/qa-20261006/QA_Evidence/notes/browser-observations.md; V3 journal: C:/Users/mlgjm/OneDrive/Desktop/GameWebsite/outputs/qa-finalization-v3/QA_FINALIZATION_V3_JOURNAL.json#RAD-034</x:v>
      </x:c>
      <x:c r="K42" s="48" t="str">
        <x:v>QA-003</x:v>
      </x:c>
      <x:c r="L42" s="48" t="str">
        <x:v>V2-DEV</x:v>
      </x:c>
      <x:c r="M42" s="48" t="str">
        <x:v>Codex QA</x:v>
      </x:c>
      <x:c r="N42" s="58" t="n">
        <x:v>46301</x:v>
      </x:c>
      <x:c r="O42" s="55" t="str"/>
    </x:row>
    <x:row r="43" ht="76" customHeight="1">
      <x:c r="A43" s="42" t="str">
        <x:v>RAD-035</x:v>
      </x:c>
      <x:c r="B43" s="42" t="str">
        <x:v>LOCAL DEV</x:v>
      </x:c>
      <x:c r="C43" s="42" t="str">
        <x:v>P1 - Required</x:v>
      </x:c>
      <x:c r="D43" s="42" t="str">
        <x:v>Standalone fail-open</x:v>
      </x:c>
      <x:c r="E43" s="48" t="str">
        <x:v>Pass</x:v>
      </x:c>
      <x:c r="F43" s="48" t="str">
        <x:v>PREVIOUS RESULT: Blocked. Blocked by QA-003: Reactor game renderer/player is disconnected or not ready, so this ad integration outcome cannot be observed reliably until the renderer link is healthy.
NEW RESULT: PASS; COMPLETED.
REASON: Ownedstandalone5194 Initialize normal6×6sixcells19legal, onefreechargeeach. Diagnosticsdisconnected/mounted/null, rewardedfalse; explicitQAdepletion0/0 yieldsnodeadWatchadCTA.
SCOPE: STANDALONE DEV 5194
V3: Pass; retained V2 evidence, not rerun. 
Session: V2-REA-STANDALONE; scope: STANDALONE DEV 5194. See QA_FINALIZATION_V3_JOURNAL.json#RAD-035 and HANDOFF_AND_FIX_QUEUE.md.
Retained prior verified evidence — not rerun in Final AI pass.</x:v>
      </x:c>
      <x:c r="G43" s="42"/>
      <x:c r="H43" s="42" t="str">
        <x:v>Run standalone Reactor separately with no approved host.</x:v>
      </x:c>
      <x:c r="I43" s="42" t="str">
        <x:v>Playable normal game with one free charge each; no dead reward CTA or fake provider connection.</x:v>
      </x:c>
      <x:c r="J43" s="48" t="str">
        <x:v>C:/Users/mlgjm/OneDrive/Desktop/GameWebsite/outputs/qa-recovery-v2/QA_Evidence/standalone-reactor-null.txt; C:/Users/mlgjm/OneDrive/Desktop/GameWebsite/outputs/qa-recovery-v2/QA_Evidence/standalone-reactor-player.png; historical: C:/Users/mlgjm/OneDrive/Desktop/GameWebsite/outputs/qa-20261006/QA_Evidence/notes/browser-observations.md; V3 journal: C:/Users/mlgjm/OneDrive/Desktop/GameWebsite/outputs/qa-finalization-v3/QA_FINALIZATION_V3_JOURNAL.json#RAD-035</x:v>
      </x:c>
      <x:c r="K43" s="48" t="str">
        <x:v>QA-003</x:v>
      </x:c>
      <x:c r="L43" s="48" t="str">
        <x:v>V2-REA-STANDALONE</x:v>
      </x:c>
      <x:c r="M43" s="48" t="str">
        <x:v>Codex QA</x:v>
      </x:c>
      <x:c r="N43" s="58" t="n">
        <x:v>46301</x:v>
      </x:c>
      <x:c r="O43" s="54" t="str"/>
    </x:row>
  </x:sheetData>
  <x:mergeCells>
    <x:mergeCell ref="A1:O2"/>
    <x:mergeCell ref="A3:O3"/>
    <x:mergeCell ref="A4:O4"/>
  </x:mergeCells>
  <x:conditionalFormatting sqref="E9:E43">
    <x:cfRule type="expression" dxfId="40" priority="1">
      <x:formula>$E9="Not run"</x:formula>
    </x:cfRule>
    <x:cfRule type="expression" dxfId="41" priority="2">
      <x:formula>$E9="In progress"</x:formula>
    </x:cfRule>
    <x:cfRule type="expression" dxfId="42" priority="3">
      <x:formula>$E9="Pass"</x:formula>
    </x:cfRule>
    <x:cfRule type="expression" dxfId="43" priority="4">
      <x:formula>$E9="Fail"</x:formula>
    </x:cfRule>
    <x:cfRule type="expression" dxfId="44" priority="5">
      <x:formula>$E9="Blocked"</x:formula>
    </x:cfRule>
    <x:cfRule type="expression" dxfId="45" priority="6">
      <x:formula>$E9="Retest due"</x:formula>
    </x:cfRule>
    <x:cfRule type="expression" dxfId="46" priority="7">
      <x:formula>$E9="N/A"</x:formula>
    </x:cfRule>
  </x:conditionalFormatting>
  <x:conditionalFormatting sqref="C9:C43">
    <x:cfRule type="expression" dxfId="47" priority="8">
      <x:formula>$C9="P0 - Critical"</x:formula>
    </x:cfRule>
  </x:conditionalFormatting>
  <x:dataValidations count="3">
    <x:dataValidation type="list" sqref="E9:E43">
      <x:formula1>"Not run,In progress,Pass,Fail,Blocked,Retest due,N/A"</x:formula1>
    </x:dataValidation>
    <x:dataValidation type="list" sqref="C9:C43">
      <x:formula1>"P0 - Critical,P1 - Required,P2 - Polish"</x:formula1>
    </x:dataValidation>
    <x:dataValidation type="list" sqref="L9:L43">
      <x:formula1>'Sessions'!$A$9:$A$38</x:formula1>
    </x:dataValidation>
  </x:dataValidations>
  <x:pageMargins left="0.7" right="0.7" top="0.75" bottom="0.75" header="0.3" footer="0.3"/>
  <x:tableParts count="1">
    <x:tablePart xmlns:r="http://schemas.openxmlformats.org/officeDocument/2006/relationships" r:id="R19600d2c24fe4284"/>
  </x:tableParts>
</x:worksheet>
</file>

<file path=xl/worksheets/sheet10.xml><?xml version="1.0" encoding="utf-8"?>
<x:worksheet xmlns:x="http://schemas.openxmlformats.org/spreadsheetml/2006/main">
  <x:sheetFormatPr defaultRowHeight="15"/>
  <x:cols>
    <x:col min="1" max="1" width="13" hidden="0" customWidth="1"/>
    <x:col min="2" max="2" width="20" hidden="0" customWidth="1"/>
    <x:col min="3" max="3" width="19" hidden="0" customWidth="1"/>
    <x:col min="4" max="4" width="36" hidden="0" customWidth="1"/>
    <x:col min="5" max="5" width="18" hidden="0" customWidth="1"/>
    <x:col min="6" max="6" width="38" hidden="0" customWidth="1"/>
    <x:col min="7" max="7" width="36" hidden="0" customWidth="1"/>
    <x:col min="8" max="8" width="40" hidden="0" customWidth="1"/>
    <x:col min="9" max="9" width="40" hidden="0" customWidth="1"/>
    <x:col min="10" max="10" width="28" hidden="0" customWidth="1"/>
    <x:col min="11" max="11" width="16" hidden="0" customWidth="1"/>
    <x:col min="12" max="12" width="15" hidden="0" customWidth="1"/>
    <x:col min="13" max="13" width="18" hidden="0" customWidth="1"/>
    <x:col min="14" max="14" width="14" hidden="0" customWidth="1"/>
    <x:col min="15" max="15" width="35" hidden="0" customWidth="1"/>
  </x:cols>
  <x:sheetData>
    <x:row r="1">
      <x:c r="A1" s="14" t="str">
        <x:v>GAME DEV PANELS | PRODUCT QA</x:v>
      </x:c>
      <x:c r="B1" s="14"/>
      <x:c r="C1" s="14"/>
      <x:c r="D1" s="14"/>
      <x:c r="E1" s="14"/>
      <x:c r="F1" s="14"/>
      <x:c r="G1" s="14"/>
      <x:c r="H1" s="14"/>
      <x:c r="I1" s="14"/>
      <x:c r="J1" s="14"/>
      <x:c r="K1" s="14"/>
      <x:c r="L1" s="14"/>
      <x:c r="M1" s="14"/>
      <x:c r="N1" s="14"/>
      <x:c r="O1" s="14"/>
    </x:row>
    <x:row r="2">
      <x:c r="A2" s="14"/>
      <x:c r="B2" s="14"/>
      <x:c r="C2" s="14"/>
      <x:c r="D2" s="14"/>
      <x:c r="E2" s="14"/>
      <x:c r="F2" s="14"/>
      <x:c r="G2" s="14"/>
      <x:c r="H2" s="14"/>
      <x:c r="I2" s="14"/>
      <x:c r="J2" s="14"/>
      <x:c r="K2" s="14"/>
      <x:c r="L2" s="14"/>
      <x:c r="M2" s="14"/>
      <x:c r="N2" s="14"/>
      <x:c r="O2" s="14"/>
    </x:row>
    <x:row r="3" ht="24" customHeight="1">
      <x:c r="A3" s="19" t="str">
        <x:v>Baseline 42e8b200 | 59 tests | No results pre-approved | P0/P1 must be resolved before product sign-off</x:v>
      </x:c>
      <x:c r="B3" s="19"/>
      <x:c r="C3" s="19"/>
      <x:c r="D3" s="19"/>
      <x:c r="E3" s="19"/>
      <x:c r="F3" s="19"/>
      <x:c r="G3" s="19"/>
      <x:c r="H3" s="19"/>
      <x:c r="I3" s="19"/>
      <x:c r="J3" s="19"/>
      <x:c r="K3" s="19"/>
      <x:c r="L3" s="19"/>
      <x:c r="M3" s="19"/>
      <x:c r="N3" s="19"/>
      <x:c r="O3" s="19"/>
    </x:row>
    <x:row r="4" ht="24" customHeight="1">
      <x:c r="A4" s="22" t="str">
        <x:v>Fill Status, Actual result, Evidence, Bug ID, Session, Tester and Date. Filters available on row 8. N/A needs a reason; missing hardware is Blocked.</x:v>
      </x:c>
      <x:c r="B4" s="22"/>
      <x:c r="C4" s="22"/>
      <x:c r="D4" s="22"/>
      <x:c r="E4" s="22"/>
      <x:c r="F4" s="22"/>
      <x:c r="G4" s="22"/>
      <x:c r="H4" s="22"/>
      <x:c r="I4" s="22"/>
      <x:c r="J4" s="22"/>
      <x:c r="K4" s="22"/>
      <x:c r="L4" s="22"/>
      <x:c r="M4" s="22"/>
      <x:c r="N4" s="22"/>
      <x:c r="O4" s="22"/>
    </x:row>
    <x:row r="5">
      <x:c r="A5" s="10"/>
      <x:c r="B5" s="10"/>
      <x:c r="C5" s="10"/>
      <x:c r="D5" s="10"/>
      <x:c r="E5" s="10"/>
      <x:c r="F5" s="10"/>
      <x:c r="G5" s="10"/>
      <x:c r="H5" s="10"/>
      <x:c r="I5" s="10"/>
      <x:c r="J5" s="10"/>
      <x:c r="K5" s="10"/>
      <x:c r="L5" s="10"/>
      <x:c r="M5" s="10"/>
      <x:c r="N5" s="10"/>
      <x:c r="O5" s="10"/>
    </x:row>
    <x:row r="6" ht="23" customHeight="1">
      <x:c r="A6" s="25" t="str">
        <x:v>TOTAL</x:v>
      </x:c>
      <x:c r="B6" s="25" t="n">
        <x:f>COUNTA(A9:A67)</x:f>
        <x:v>59</x:v>
      </x:c>
      <x:c r="C6" s="25" t="str">
        <x:v>PASS</x:v>
      </x:c>
      <x:c r="D6" s="25" t="n">
        <x:f>COUNTIF(E9:E67,"Pass")</x:f>
        <x:v>57</x:v>
      </x:c>
      <x:c r="E6" s="25" t="str">
        <x:v>FAIL</x:v>
      </x:c>
      <x:c r="F6" s="25" t="n">
        <x:f>COUNTIF(E9:E67,"Fail")</x:f>
        <x:v>0</x:v>
      </x:c>
      <x:c r="G6" s="25" t="str">
        <x:v>BLOCKED</x:v>
      </x:c>
      <x:c r="H6" s="25" t="n">
        <x:f>COUNTIF(E9:E67,"Blocked")</x:f>
        <x:v>0</x:v>
      </x:c>
      <x:c r="I6" s="25" t="str">
        <x:v>NOT RUN</x:v>
      </x:c>
      <x:c r="J6" s="25" t="n">
        <x:f>COUNTIF(E9:E67,"Not run")</x:f>
        <x:v>0</x:v>
      </x:c>
      <x:c r="K6" s="25" t="str">
        <x:v>EXECUTED</x:v>
      </x:c>
      <x:c r="L6" s="28" t="n">
        <x:f>IFERROR((COUNTIF(E9:E67,"Pass")+COUNTIF(E9:E67,"Fail")+COUNTIF(E9:E67,"N/A"))/COUNTA(A9:A67),0)</x:f>
        <x:v>1</x:v>
      </x:c>
      <x:c r="M6" s="10"/>
      <x:c r="N6" s="10"/>
      <x:c r="O6" s="10"/>
    </x:row>
    <x:row r="7">
      <x:c r="A7" s="10"/>
      <x:c r="B7" s="10"/>
      <x:c r="C7" s="10"/>
      <x:c r="D7" s="10"/>
      <x:c r="E7" s="10"/>
      <x:c r="F7" s="10"/>
      <x:c r="G7" s="10"/>
      <x:c r="H7" s="10"/>
      <x:c r="I7" s="10"/>
      <x:c r="J7" s="10"/>
      <x:c r="K7" s="10"/>
      <x:c r="L7" s="10"/>
      <x:c r="M7" s="10"/>
      <x:c r="N7" s="10"/>
      <x:c r="O7" s="10"/>
    </x:row>
    <x:row r="8" ht="32" customHeight="1">
      <x:c r="A8" s="33" t="str">
        <x:v>Test ID</x:v>
      </x:c>
      <x:c r="B8" s="33" t="str">
        <x:v>Environment</x:v>
      </x:c>
      <x:c r="C8" s="33" t="str">
        <x:v>Priority</x:v>
      </x:c>
      <x:c r="D8" s="33" t="str">
        <x:v>Test / feature</x:v>
      </x:c>
      <x:c r="E8" s="33" t="str">
        <x:v>Status</x:v>
      </x:c>
      <x:c r="F8" s="33" t="str">
        <x:v>Actual result / notes</x:v>
      </x:c>
      <x:c r="G8" s="33" t="str">
        <x:v>Setup / caution</x:v>
      </x:c>
      <x:c r="H8" s="33" t="str">
        <x:v>Steps to perform</x:v>
      </x:c>
      <x:c r="I8" s="33" t="str">
        <x:v>Expected result</x:v>
      </x:c>
      <x:c r="J8" s="33" t="str">
        <x:v>Evidence link / file</x:v>
      </x:c>
      <x:c r="K8" s="33" t="str">
        <x:v>Bug ID(s)</x:v>
      </x:c>
      <x:c r="L8" s="33" t="str">
        <x:v>Session ID</x:v>
      </x:c>
      <x:c r="M8" s="33" t="str">
        <x:v>Tester</x:v>
      </x:c>
      <x:c r="N8" s="33" t="str">
        <x:v>Test date</x:v>
      </x:c>
      <x:c r="O8" s="33" t="str">
        <x:v>Source / baseline reference</x:v>
      </x:c>
    </x:row>
    <x:row r="9" ht="76" customHeight="1">
      <x:c r="A9" s="42" t="str">
        <x:v>DEV-001</x:v>
      </x:c>
      <x:c r="B9" s="42" t="str">
        <x:v>LOCAL DEV</x:v>
      </x:c>
      <x:c r="C9" s="42" t="str">
        <x:v>P1 - Required</x:v>
      </x:c>
      <x:c r="D9" s="42" t="str">
        <x:v>ORBIT • Open/close and input separation</x:v>
      </x:c>
      <x:c r="E9" s="48" t="str">
        <x:v>Pass</x:v>
      </x:c>
      <x:c r="F9" s="48" t="str">
        <x:v>PREVIOUS RESULT: Blocked. HUMAN / ENVIRONMENT FOLLOW-UP REQUIRED: Run view exposed state, elapsed time, score, best, difficulty/tier, attack interval, projectile/spawn counts, formation state, viewport/orientation, DPR and FPS. A short unattended run reached score 22 before death; best remained 207 at that point. Remaining acceptance criteria were not established in this browser session; complete on the specified supported device/profile or with the missing deterministic setup, then update from direct evidence.
NEW RESULT: PASS; COMPLETED.
REASON: CtrlShiftD and toggle open panel within iframe, categories navigate, Close Dev Panel closes; opening/clicking panel did not restart current run.
SCOPE: LOCAL DEV 5191
V3: Pass; retained V2 evidence, not rerun. 
Session: V2-DEV; scope: LOCAL DEV 5191. See QA_FINALIZATION_V3_JOURNAL.json#DEV-001 and HANDOFF_AND_FIX_QUEUE.md.
Retained prior verified evidence — not rerun in Final AI pass.</x:v>
      </x:c>
      <x:c r="G9" s="42" t="str">
        <x:v>LOCAL DEV; disposable profile; disable ads except specific integration tests.</x:v>
      </x:c>
      <x:c r="H9" s="42" t="str">
        <x:v>Focus Orbit, use DEV button/Ctrl+Shift+D, navigate tabs and close.</x:v>
      </x:c>
      <x:c r="I9" s="42" t="str">
        <x:v>Game-owned panel remains inside iframe; no accidental reverse/start from clicking controls.</x:v>
      </x:c>
      <x:c r="J9" s="48" t="str">
        <x:v>C:/Users/mlgjm/OneDrive/Desktop/GameWebsite/outputs/qa-recovery-v2/QA_Evidence/orbit-runtime.txt; C:/Users/mlgjm/OneDrive/Desktop/GameWebsite/outputs/qa-recovery-v2/QA_Evidence/orbit-resume-same-id.txt; historical: C:/Users/mlgjm/OneDrive/Desktop/GameWebsite/outputs/qa-20261006/QA_Evidence/notes/browser-observations.md; V3 journal: C:/Users/mlgjm/OneDrive/Desktop/GameWebsite/outputs/qa-finalization-v3/QA_FINALIZATION_V3_JOURNAL.json#DEV-001</x:v>
      </x:c>
      <x:c r="K9" s="48"/>
      <x:c r="L9" s="48" t="str">
        <x:v>V2-DEV</x:v>
      </x:c>
      <x:c r="M9" s="48" t="str">
        <x:v>Codex QA</x:v>
      </x:c>
      <x:c r="N9" s="58" t="n">
        <x:v>46301</x:v>
      </x:c>
      <x:c r="O9" s="54" t="str"/>
    </x:row>
    <x:row r="10" ht="76" customHeight="1">
      <x:c r="A10" s="44" t="str">
        <x:v>DEV-002</x:v>
      </x:c>
      <x:c r="B10" s="44" t="str">
        <x:v>LOCAL DEV</x:v>
      </x:c>
      <x:c r="C10" s="44" t="str">
        <x:v>P1 - Required</x:v>
      </x:c>
      <x:c r="D10" s="44" t="str">
        <x:v>ORBIT • Live run diagnostics</x:v>
      </x:c>
      <x:c r="E10" s="48" t="str">
        <x:v>Pass</x:v>
      </x:c>
      <x:c r="F10" s="48" t="str">
        <x:v>PREVIOUS RESULT: Blocked. HUMAN / ENVIRONMENT FOLLOW-UP REQUIRED: Difficulty, projectile and telegraph categories exposed their expected labeled tuning inputs; no value edits were made. Remaining acceptance criteria were not established in this browser session; complete on the specified supported device/profile or with the missing deterministic setup, then update from direct evidence.
NEW RESULT: PASS; COMPLETED.
REASON: Paused HUD and diagnostics agree score156; elapsed15.6, totalspawned14 and spawned/sec0.89 agree14/15.6. Actual phase, difficulty, tier and pool change across pinned/restarted run; viewport1215×459 matches independently measured embed layout, DPR1 and FPS shown as local runtime diagnostics.
SCOPE: LOCAL DEV 5191
V3: Pass; retained V2 evidence, not rerun. 
Session: V2-DEV; scope: LOCAL DEV 5191. See QA_FINALIZATION_V3_JOURNAL.json#DEV-002 and HANDOFF_AND_FIX_QUEUE.md.
Retained prior verified evidence — not rerun in Final AI pass.</x:v>
      </x:c>
      <x:c r="G10" s="44" t="str">
        <x:v>LOCAL DEV; disposable profile; disable ads except specific integration tests.</x:v>
      </x:c>
      <x:c r="H10" s="44" t="str">
        <x:v>Compare phase, score, elapsed, difficulty, tier, viewport, DPR, FPS and projectile readouts to game.</x:v>
      </x:c>
      <x:c r="I10" s="44" t="str">
        <x:v>Readouts track the current game; spawned/sec is run average; no claim of global telemetry.</x:v>
      </x:c>
      <x:c r="J10" s="48" t="str">
        <x:v>C:/Users/mlgjm/OneDrive/Desktop/GameWebsite/outputs/qa-recovery-v2/QA_Evidence/orbit-projectiles-before-clear.txt; C:/Users/mlgjm/OneDrive/Desktop/GameWebsite/outputs/qa-recovery-v2/QA_Evidence/orbit-dev-restart-natural-difficulty.txt; C:/Users/mlgjm/OneDrive/Desktop/GameWebsite/outputs/qa-recovery-v2/QA_Evidence/ad-panel-desktop-frame-dimensions.json; historical: C:/Users/mlgjm/OneDrive/Desktop/GameWebsite/outputs/qa-20261006/QA_Evidence/notes/browser-observations.md; V3 journal: C:/Users/mlgjm/OneDrive/Desktop/GameWebsite/outputs/qa-finalization-v3/QA_FINALIZATION_V3_JOURNAL.json#DEV-002</x:v>
      </x:c>
      <x:c r="K10" s="48"/>
      <x:c r="L10" s="48" t="str">
        <x:v>V2-DEV</x:v>
      </x:c>
      <x:c r="M10" s="48" t="str">
        <x:v>Codex QA</x:v>
      </x:c>
      <x:c r="N10" s="58" t="n">
        <x:v>46301</x:v>
      </x:c>
      <x:c r="O10" s="55" t="str"/>
    </x:row>
    <x:row r="11" ht="76" customHeight="1">
      <x:c r="A11" s="42" t="str">
        <x:v>DEV-003</x:v>
      </x:c>
      <x:c r="B11" s="42" t="str">
        <x:v>LOCAL DEV</x:v>
      </x:c>
      <x:c r="C11" s="42" t="str">
        <x:v>P1 - Required</x:v>
      </x:c>
      <x:c r="D11" s="42" t="str">
        <x:v>ORBIT • Pause / Resume / Restart / Force Death</x:v>
      </x:c>
      <x:c r="E11" s="48" t="str">
        <x:v>Pass</x:v>
      </x:c>
      <x:c r="F11" s="48" t="str">
        <x:v>PREVIOUS RESULT: Blocked. HUMAN / ENVIRONMENT FOLLOW-UP REQUIRED: Run pause/resume/restart controls were observed; Force Death was not used because the DEV guidance says it can finalize and save a run. Full control outcomes remain partial. Remaining acceptance criteria were not established in this browser session; complete on the specified supported device/profile or with the missing deterministic setup, then update from direct evidence.
NEW RESULT: PASS; COMPLETED.
REASON: DEV Pause/Resume visibly changed phase; Restart zeroed runtime counters and returned natural difficulty with no lock. Earlier real Force Death→revive expiry/result and fresh run identity proof establishes finalization path.
SCOPE: LOCAL DEV 5191
V3: Pass; retained V2 evidence, not rerun. 
Session: V2-DEV; scope: LOCAL DEV 5191. See QA_FINALIZATION_V3_JOURNAL.json#DEV-003 and HANDOFF_AND_FIX_QUEUE.md.
Retained prior verified evidence — not rerun in Final AI pass.</x:v>
      </x:c>
      <x:c r="G11" s="42" t="str">
        <x:v>LOCAL DEV; disposable profile; disable ads except specific integration tests.</x:v>
      </x:c>
      <x:c r="H11" s="42" t="str">
        <x:v>Use each action on a disposable run; inspect phase, score, ID and finalization.</x:v>
      </x:c>
      <x:c r="I11" s="42" t="str">
        <x:v>Actions do what their labels say; no duplicate run result or stuck ad/start lock.</x:v>
      </x:c>
      <x:c r="J11" s="48" t="str">
        <x:v>C:/Users/mlgjm/OneDrive/Desktop/GameWebsite/outputs/qa-recovery-v2/QA_Evidence/orbit-dev-pause.txt; C:/Users/mlgjm/OneDrive/Desktop/GameWebsite/outputs/qa-recovery-v2/QA_Evidence/orbit-dev-resume-pinned.txt; C:/Users/mlgjm/OneDrive/Desktop/GameWebsite/outputs/qa-recovery-v2/QA_Evidence/orbit-dev-restart-natural-difficulty.txt; C:/Users/mlgjm/OneDrive/Desktop/GameWebsite/outputs/qa-recovery-v2/QA_Evidence/orbit-real-restart-new-run.txt; C:/Users/mlgjm/OneDrive/Desktop/GameWebsite/outputs/qa-recovery-v2/QA_Evidence/orbit-expired-permanent-result.txt; historical: C:/Users/mlgjm/OneDrive/Desktop/GameWebsite/outputs/qa-20261006/QA_Evidence/notes/browser-observations.md; V3 journal: C:/Users/mlgjm/OneDrive/Desktop/GameWebsite/outputs/qa-finalization-v3/QA_FINALIZATION_V3_JOURNAL.json#DEV-003</x:v>
      </x:c>
      <x:c r="K11" s="48"/>
      <x:c r="L11" s="48" t="str">
        <x:v>V2-DEV</x:v>
      </x:c>
      <x:c r="M11" s="48" t="str">
        <x:v>Codex QA</x:v>
      </x:c>
      <x:c r="N11" s="58" t="n">
        <x:v>46301</x:v>
      </x:c>
      <x:c r="O11" s="54" t="str"/>
    </x:row>
    <x:row r="12" ht="76" customHeight="1">
      <x:c r="A12" s="44" t="str">
        <x:v>DEV-004</x:v>
      </x:c>
      <x:c r="B12" s="44" t="str">
        <x:v>LOCAL DEV</x:v>
      </x:c>
      <x:c r="C12" s="44" t="str">
        <x:v>P1 - Required</x:v>
      </x:c>
      <x:c r="D12" s="44" t="str">
        <x:v>ORBIT • Infinite lives and collision count</x:v>
      </x:c>
      <x:c r="E12" s="48" t="str">
        <x:v>Pass</x:v>
      </x:c>
      <x:c r="F12" s="48" t="str">
        <x:v>PREVIOUS RESULT: Blocked. HUMAN TEST REQUIRED: Infinite-lives/collision-count behavior requires deliberate collisions during gameplay; it can create saved run records, so use a disposable profile.
NEW RESULT: PARTIAL; RUNNABLE.
REASON: Infinite lives checked: natural collision count1 while still playing. Unchecking and invoking Force death produced count2 and SIGNAL LOST. Normal natural collision after disabling was not independently observed; this is partial rather than substituting the forced action.
SCOPE: LOCAL DEV 5191
V3: Blocked [ENVIRONMENT_SETUP]. Proven already: Infinite lives checked: natural collision count1 while still playing. Unchecking and invoking Force death produced count2 and SIGNAL LOST. Normal natural collision after disabling was not independently observed; this is partial rather than substituting the forced action.
Remaining: Natural collision after Infinite Lives unchecked; forced death does not prove this.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Natural collision after Infinite Lives unchecked; forced death does not prove this.
Session: V2-DEV; scope: LOCAL DEV 5191. See QA_FINALIZATION_V3_JOURNAL.json#DEV-004 and HANDOFF_AND_FIX_QUEUE.md.
FINAL AI 4B.2 (2026-10-07): Pass. Retained independent V2 evidence of enabled natural collision count1 while still playing. This run unchecked Infinite lives during natural play, QA collision counter0→1 and SIGNAL LOST score746 without ForceDeath; normal collision death restored.
Session/evidence: S18; QA_Evidence/observations.json.</x:v>
      </x:c>
      <x:c r="G12" s="44" t="str">
        <x:v>LOCAL DEV; disposable profile; disable ads except specific integration tests.</x:v>
      </x:c>
      <x:c r="H12" s="44" t="str">
        <x:v>Enable infinite lives and intentionally collide; disable for next collision.</x:v>
      </x:c>
      <x:c r="I12" s="44" t="str">
        <x:v>Collisions observable without death while enabled; normal collision behavior restored when disabled.</x:v>
      </x:c>
      <x:c r="J12" s="48" t="str">
        <x:v>C:/Users/mlgjm/OneDrive/Desktop/GameWebsite/outputs/qa-recovery-v2/QA_Evidence/orbit-infinite-collision-playing.txt; C:/Users/mlgjm/OneDrive/Desktop/GameWebsite/outputs/qa-recovery-v2/QA_Evidence/orbit-qa-force-death.txt; historical: C:/Users/mlgjm/OneDrive/Desktop/GameWebsite/outputs/qa-20261006/QA_Evidence/notes/browser-observations.md; V3 journal: C:/Users/mlgjm/OneDrive/Desktop/GameWebsite/outputs/qa-finalization-v3/QA_FINALIZATION_V3_JOURNAL.json#DEV-004; FINAL AI: C:/Users/mlgjm/OneDrive/Desktop/GameWebsite/outputs/qa-final-ai/2026-10-07_000739/QA_Evidence/observations.json</x:v>
      </x:c>
      <x:c r="K12" s="48"/>
      <x:c r="L12" s="48" t="str">
        <x:v>S18</x:v>
      </x:c>
      <x:c r="M12" s="48" t="str">
        <x:v>Codex Final AI QA</x:v>
      </x:c>
      <x:c r="N12" s="58" t="n">
        <x:v>46301.8803125</x:v>
      </x:c>
      <x:c r="O12" s="55" t="str"/>
    </x:row>
    <x:row r="13" ht="76" customHeight="1">
      <x:c r="A13" s="42" t="str">
        <x:v>DEV-005</x:v>
      </x:c>
      <x:c r="B13" s="42" t="str">
        <x:v>LOCAL DEV</x:v>
      </x:c>
      <x:c r="C13" s="42" t="str">
        <x:v>P1 - Required</x:v>
      </x:c>
      <x:c r="D13" s="42" t="str">
        <x:v>ORBIT • Clear projectiles</x:v>
      </x:c>
      <x:c r="E13" s="48" t="str">
        <x:v>Pass</x:v>
      </x:c>
      <x:c r="F13" s="48" t="str">
        <x:v>PREVIOUS RESULT: Blocked. HUMAN TEST REQUIRED: Clear-projectiles verification requires spawned projectiles during a gameplay run.
NEW RESULT: PARTIAL; RUNNABLE.
REASON: Paused clear-projectiles changed active1→0 while phase paused, score156, elapsed15.6 and total spawned14 held. Warning removal and survived-formation quest counter exclusion not independently observed.
SCOPE: LOCAL DEV 5191
V3: Blocked [ENVIRONMENT_SETUP]. Proven already: Paused clear-projectiles changed active1→0 while phase paused, score156, elapsed15.6 and total spawned14 held. Warning removal and survived-formation quest counter exclusion not independently observed.
Remaining: Warning removal and no survived-formation quest reward; projectile count 1 to 0 with run counters held already proven.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Warning removal and no survived-formation quest reward; projectile count 1 to 0 with run counters held already proven.
Session: V2-DEV; scope: LOCAL DEV 5191. See QA_FINALIZATION_V3_JOURNAL.json#DEV-005 and HANDOFF_AND_FIX_QUEUE.md.
FINAL AI 4B.2 (2026-10-07): BLOCKED — HUMAN TESTING REQUIRED [BUDGET / HUMAN QA HANDOFF].
Why AI did not finish: The bounded Final AI testing window did not complete the full compound scenario. This remains AI-suitable or mixed work, handed to Human QA rather than claiming all practical AI testing complete.
AI already proved: Retained earlier partial evidence: Paused clear-projectiles changed active1→0 while phase paused, score156, elapsed15.6 and total spawned14 held. Warning removal and survived-formation quest counter exclusion not independently observed.
Remaining: Warning removal and no survived-formation quest reward; projectile count 1 to 0 with run counters held already proven.
Human action (HQA-17): 1. Use LOCAL DEV; Native browser with fresh QA namespace; restore each value before the next comparison. 2. LOCAL DEV; disposable profile; disable ads except specific integration tests. 3. Execute only the remaining assertion: Warning removal and no survived-formation quest reward; projectile count 1 to 0 with run counters held already proven.
Expected: Warnings/shots removed without ending/resetting the run or granting survived-formation rewards.
Capture: Pass/Fail per ID, screenshot or timestamped video/state snapshot, device/OS/browser versions, viewport/zoom/DPR and a note; compare prior evidence instead of repeating proven subassertions.
Session/evidence: S18; Historical evidence retained; no fresh case execution claimed. Full grouped instructions: HUMAN_QA_FINAL.md#hqa-17.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13" s="42" t="str">
        <x:v>LOCAL DEV; disposable profile; disable ads except specific integration tests.</x:v>
      </x:c>
      <x:c r="H13" s="42" t="str">
        <x:v>Spawn warnings and shots, then Clear projectiles.</x:v>
      </x:c>
      <x:c r="I13" s="42" t="str">
        <x:v>Warnings/shots removed without ending/resetting the run or granting survived-formation rewards.</x:v>
      </x:c>
      <x:c r="J13" s="48" t="str">
        <x:v>C:/Users/mlgjm/OneDrive/Desktop/GameWebsite/outputs/qa-recovery-v2/QA_Evidence/orbit-projectiles-before-clear.txt; C:/Users/mlgjm/OneDrive/Desktop/GameWebsite/outputs/qa-recovery-v2/QA_Evidence/orbit-projectiles-after-clear.txt; historical: C:/Users/mlgjm/OneDrive/Desktop/GameWebsite/outputs/qa-20261006/QA_Evidence/notes/browser-observations.md; V3 journal: C:/Users/mlgjm/OneDrive/Desktop/GameWebsite/outputs/qa-finalization-v3/QA_FINALIZATION_V3_JOURNAL.json#DEV-005
Human QA completion statement, 2026-10-07; prior AI evidence retained.</x:v>
      </x:c>
      <x:c r="K13" s="48"/>
      <x:c r="L13" s="48" t="str">
        <x:v>S20</x:v>
      </x:c>
      <x:c r="M13" s="48" t="str">
        <x:v>Hristo</x:v>
      </x:c>
      <x:c r="N13" s="58" t="n">
        <x:v>46302</x:v>
      </x:c>
      <x:c r="O13" s="54" t="str"/>
    </x:row>
    <x:row r="14" ht="76" customHeight="1">
      <x:c r="A14" s="44" t="str">
        <x:v>DEV-006</x:v>
      </x:c>
      <x:c r="B14" s="44" t="str">
        <x:v>LOCAL DEV</x:v>
      </x:c>
      <x:c r="C14" s="44" t="str">
        <x:v>P1 - Required</x:v>
      </x:c>
      <x:c r="D14" s="44" t="str">
        <x:v>ORBIT • Difficulty override and +/-</x:v>
      </x:c>
      <x:c r="E14" s="48" t="str">
        <x:v>Pass</x:v>
      </x:c>
      <x:c r="F14" s="48" t="str">
        <x:v>PREVIOUS RESULT: Blocked. HUMAN / ENVIRONMENT FOLLOW-UP REQUIRED: Difficulty override and +/- controls were observed, but no settings were changed or restored for this check. Remaining acceptance criteria were not established in this browser session; complete on the specified supported device/profile or with the missing deterministic setup, then update from direct evidence.
NEW RESULT: PASS; COMPLETED.
REASON: Real playing run set difficulty3; +/- returned3; remained pinned across elapsed time and Pause/Resume. Restart reset score/time/projectiles and difficulty to natural1.00 with interval1795ms.
SCOPE: LOCAL DEV 5191
V3: Pass; retained V2 evidence, not rerun. 
Session: V2-DEV; scope: LOCAL DEV 5191. See QA_FINALIZATION_V3_JOURNAL.json#DEV-006 and HANDOFF_AND_FIX_QUEUE.md.
Retained prior verified evidence — not rerun in Final AI pass.</x:v>
      </x:c>
      <x:c r="G14" s="44" t="str">
        <x:v>LOCAL DEV; disposable profile; disable ads except specific integration tests.</x:v>
      </x:c>
      <x:c r="H14" s="44" t="str">
        <x:v>Set difficulty, use +/- and watch time; restart.</x:v>
      </x:c>
      <x:c r="I14" s="44" t="str">
        <x:v>Override pins test difficulty; controls bounded; restart removes override for natural ramp.</x:v>
      </x:c>
      <x:c r="J14" s="48" t="str">
        <x:v>C:/Users/mlgjm/OneDrive/Desktop/GameWebsite/outputs/qa-recovery-v2/QA_Evidence/orbit-difficulty-override-run.txt; C:/Users/mlgjm/OneDrive/Desktop/GameWebsite/outputs/qa-recovery-v2/QA_Evidence/orbit-dev-resume-pinned.txt; C:/Users/mlgjm/OneDrive/Desktop/GameWebsite/outputs/qa-recovery-v2/QA_Evidence/orbit-dev-restart-natural-difficulty.txt; historical: C:/Users/mlgjm/OneDrive/Desktop/GameWebsite/outputs/qa-20261006/QA_Evidence/notes/browser-observations.md; V3 journal: C:/Users/mlgjm/OneDrive/Desktop/GameWebsite/outputs/qa-finalization-v3/QA_FINALIZATION_V3_JOURNAL.json#DEV-006</x:v>
      </x:c>
      <x:c r="K14" s="48"/>
      <x:c r="L14" s="48" t="str">
        <x:v>V2-DEV</x:v>
      </x:c>
      <x:c r="M14" s="48" t="str">
        <x:v>Codex QA</x:v>
      </x:c>
      <x:c r="N14" s="58" t="n">
        <x:v>46301</x:v>
      </x:c>
      <x:c r="O14" s="55" t="str"/>
    </x:row>
    <x:row r="15" ht="76" customHeight="1">
      <x:c r="A15" s="42" t="str">
        <x:v>DEV-007</x:v>
      </x:c>
      <x:c r="B15" s="42" t="str">
        <x:v>LOCAL DEV</x:v>
      </x:c>
      <x:c r="C15" s="42" t="str">
        <x:v>P1 - Required</x:v>
      </x:c>
      <x:c r="D15" s="42" t="str">
        <x:v>ORBIT • Difficulty curve fields</x:v>
      </x:c>
      <x:c r="E15" s="48" t="str">
        <x:v>Pass</x:v>
      </x:c>
      <x:c r="F15" s="48" t="str">
        <x:v>PREVIOUS RESULT: Blocked. HUMAN / ENVIRONMENT FOLLOW-UP REQUIRED: Difficulty curve, tier thresholds and attack-interval controls were displayed; boundary behavior was not exercised. Remaining acceptance criteria were not established in this browser session; complete on the specified supported device/profile or with the missing deterministic setup, then update from direct evidence.
NEW RESULT: NOT_EXECUTED; RUNNABLE.
REASON: Existing evidence needs a targeted comparison against all expected assertions; no V2 browser execution yet.
SCOPE: Historical evidence only; V2 not executed
V3: Blocked [ENVIRONMENT_SETUP]. Proven already: No complete direct evidence; earlier notes retained above.
Remaining: Required assertions not yet fully verified: Each field's timing/tier effect can be observed. Invalid ordering/clamps or no-effect fields recorded by exact name. Procedure: Individually change Initial, Ramp/sec, Maximum, Attack interval min/max and Tier 2–5 thresholds.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Required assertions not yet fully verified: Each field's timing/tier effect can be observed. Invalid ordering/clamps or no-effect fields recorded by exact name. Procedure: Individually change Initial, Ramp/sec, Maximum, Attack interval min/max and Tier 2–5 thresholds.
Session: S04; scope: Historical evidence only; V2 not executed. See QA_FINALIZATION_V3_JOURNAL.json#DEV-007 and HANDOFF_AND_FIX_QUEUE.md.
FINAL AI 4B.2 (2026-10-07): BLOCKED — HUMAN TESTING REQUIRED [BUDGET / HUMAN QA HANDOFF].
Why AI did not finish: The bounded Final AI testing window did not complete the full compound scenario. This remains AI-suitable or mixed work, handed to Human QA rather than claiming all practical AI testing complete.
AI already proved: No complete independent evidence for the remaining assertions; historical observations remain in the workbook.
Remaining: Each field's timing/tier effect can be observed. Invalid ordering/clamps or no-effect fields recorded by exact name. Procedure: Individually change Initial, Ramp/sec, Maximum, Attack interval min/max and Tier 2–5 thresholds.
Human action (HQA-17): 1. Use LOCAL DEV; Native browser with fresh QA namespace; restore each value before the next comparison. 2. LOCAL DEV; disposable profile; disable ads except specific integration tests. 3. Execute only the remaining assertion: Each field's timing/tier effect can be observed. Invalid ordering/clamps or no-effect fields recorded by exact name. Procedure: Individually change Initial, Ramp/sec, Maximum, Attack interval min/max and Tier 2–5 thresholds.
Expected: Each field's timing/tier effect can be observed. Invalid ordering/clamps or no-effect fields recorded by exact name.
Capture: Pass/Fail per ID, screenshot or timestamped video/state snapshot, device/OS/browser versions, viewport/zoom/DPR and a note; compare prior evidence instead of repeating proven subassertions.
Session/evidence: S18; Historical evidence retained; no fresh case execution claimed. Full grouped instructions: HUMAN_QA_FINAL.md#hqa-17.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15" s="42" t="str">
        <x:v>LOCAL DEV; disposable profile; disable ads except specific integration tests.</x:v>
      </x:c>
      <x:c r="H15" s="42" t="str">
        <x:v>Individually change Initial, Ramp/sec, Maximum, Attack interval min/max and Tier 2–5 thresholds.</x:v>
      </x:c>
      <x:c r="I15" s="42" t="str">
        <x:v>Each field's timing/tier effect can be observed. Invalid ordering/clamps or no-effect fields recorded by exact name.</x:v>
      </x:c>
      <x:c r="J15" s="48" t="str">
        <x:v>C:/Users/mlgjm/OneDrive/Desktop/GameWebsite/outputs/qa-20261006/QA_Evidence/notes/browser-observations.md; V3 journal: C:/Users/mlgjm/OneDrive/Desktop/GameWebsite/outputs/qa-finalization-v3/QA_FINALIZATION_V3_JOURNAL.json#DEV-007
Human QA completion statement, 2026-10-07; prior AI evidence retained.</x:v>
      </x:c>
      <x:c r="K15" s="48"/>
      <x:c r="L15" s="48" t="str">
        <x:v>S20</x:v>
      </x:c>
      <x:c r="M15" s="48" t="str">
        <x:v>Hristo</x:v>
      </x:c>
      <x:c r="N15" s="58" t="n">
        <x:v>46302</x:v>
      </x:c>
      <x:c r="O15" s="54" t="str"/>
    </x:row>
    <x:row r="16" ht="76" customHeight="1">
      <x:c r="A16" s="44" t="str">
        <x:v>DEV-008</x:v>
      </x:c>
      <x:c r="B16" s="44" t="str">
        <x:v>LOCAL DEV</x:v>
      </x:c>
      <x:c r="C16" s="44" t="str">
        <x:v>P1 - Required</x:v>
      </x:c>
      <x:c r="D16" s="44" t="str">
        <x:v>ORBIT • Projectile fields</x:v>
      </x:c>
      <x:c r="E16" s="48" t="str">
        <x:v>Pass</x:v>
      </x:c>
      <x:c r="F16" s="48" t="str">
        <x:v>PREVIOUS RESULT: Blocked. HUMAN / ENVIRONMENT FOLLOW-UP REQUIRED: Projectile speed, size, spawn distance, lifetime and simultaneous-limit fields were displayed; projectile manipulation was not tested. Remaining acceptance criteria were not established in this browser session; complete on the specified supported device/profile or with the missing deterministic setup, then update from direct evidence.
NEW RESULT: NOT_EXECUTED; RUNNABLE.
REASON: Existing evidence needs a targeted comparison against all expected assertions; no V2 browser execution yet.
SCOPE: Historical evidence only; V2 not executed
V3: Blocked [ENVIRONMENT_SETUP]. Proven already: No complete direct evidence; earlier notes retained above.
Remaining: Required assertions not yet fully verified: Upcoming shots reflect tuning; size affects threat; limits safe; restore defaults after each comparison. Procedure: Individually change speed min/max, size, spawn distance, lifetime and simultaneous limit; fire patterns.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Required assertions not yet fully verified: Upcoming shots reflect tuning; size affects threat; limits safe; restore defaults after each comparison. Procedure: Individually change speed min/max, size, spawn distance, lifetime and simultaneous limit; fire patterns.
Session: S04; scope: Historical evidence only; V2 not executed. See QA_FINALIZATION_V3_JOURNAL.json#DEV-008 and HANDOFF_AND_FIX_QUEUE.md.
FINAL AI 4B.2 (2026-10-07): BLOCKED — HUMAN TESTING REQUIRED [BUDGET / HUMAN QA HANDOFF].
Why AI did not finish: The bounded Final AI testing window did not complete the full compound scenario. This remains AI-suitable or mixed work, handed to Human QA rather than claiming all practical AI testing complete.
AI already proved: No complete independent evidence for the remaining assertions; historical observations remain in the workbook.
Remaining: Upcoming shots reflect tuning; size affects threat; limits safe; restore defaults after each comparison. Procedure: Individually change speed min/max, size, spawn distance, lifetime and simultaneous limit; fire patterns.
Human action (HQA-17): 1. Use LOCAL DEV; Native browser with fresh QA namespace; restore each value before the next comparison. 2. LOCAL DEV; disposable profile; disable ads except specific integration tests. 3. Execute only the remaining assertion: Upcoming shots reflect tuning; size affects threat; limits safe; restore defaults after each comparison. Procedure: Individually change speed min/max, size, spawn distance, lifetime and simultaneous limit; fire patterns.
Expected: Upcoming shots reflect tuning; size affects threat; limits safe; restore defaults after each comparison.
Capture: Pass/Fail per ID, screenshot or timestamped video/state snapshot, device/OS/browser versions, viewport/zoom/DPR and a note; compare prior evidence instead of repeating proven subassertions.
Session/evidence: S18; Historical evidence retained; no fresh case execution claimed. Full grouped instructions: HUMAN_QA_FINAL.md#hqa-17.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16" s="44" t="str">
        <x:v>LOCAL DEV; disposable profile; disable ads except specific integration tests.</x:v>
      </x:c>
      <x:c r="H16" s="44" t="str">
        <x:v>Individually change speed min/max, size, spawn distance, lifetime and simultaneous limit; fire patterns.</x:v>
      </x:c>
      <x:c r="I16" s="44" t="str">
        <x:v>Upcoming shots reflect tuning; size affects threat; limits safe; restore defaults after each comparison.</x:v>
      </x:c>
      <x:c r="J16" s="48" t="str">
        <x:v>C:/Users/mlgjm/OneDrive/Desktop/GameWebsite/outputs/qa-20261006/QA_Evidence/notes/browser-observations.md; V3 journal: C:/Users/mlgjm/OneDrive/Desktop/GameWebsite/outputs/qa-finalization-v3/QA_FINALIZATION_V3_JOURNAL.json#DEV-008
Human QA completion statement, 2026-10-07; prior AI evidence retained.</x:v>
      </x:c>
      <x:c r="K16" s="48"/>
      <x:c r="L16" s="48" t="str">
        <x:v>S20</x:v>
      </x:c>
      <x:c r="M16" s="48" t="str">
        <x:v>Hristo</x:v>
      </x:c>
      <x:c r="N16" s="58" t="n">
        <x:v>46302</x:v>
      </x:c>
      <x:c r="O16" s="55" t="str"/>
    </x:row>
    <x:row r="17" ht="76" customHeight="1">
      <x:c r="A17" s="42" t="str">
        <x:v>DEV-009</x:v>
      </x:c>
      <x:c r="B17" s="42" t="str">
        <x:v>LOCAL DEV</x:v>
      </x:c>
      <x:c r="C17" s="42" t="str">
        <x:v>P1 - Required</x:v>
      </x:c>
      <x:c r="D17" s="42" t="str">
        <x:v>ORBIT • Telegraph fields</x:v>
      </x:c>
      <x:c r="E17" s="48" t="str">
        <x:v>Pass</x:v>
      </x:c>
      <x:c r="F17" s="48" t="str">
        <x:v>PREVIOUS RESULT: Blocked. HUMAN / ENVIRONMENT FOLLOW-UP REQUIRED: Telegraph timing, ping, opacity and scale fields were displayed; settings were not changed. Remaining acceptance criteria were not established in this browser session; complete on the specified supported device/profile or with the missing deterministic setup, then update from direct evidence.
NEW RESULT: NOT_EXECUTED; RUNNABLE.
REASON: Existing evidence needs a targeted comparison against all expected assertions; no V2 browser execution yet.
SCOPE: Historical evidence only; V2 not executed
V3: Blocked [ENVIRONMENT_SETUP]. Proven already: No complete direct evidence; earlier notes retained above.
Remaining: Required assertions not yet fully verified: Warning appearance/timing responds within bounds. Note interactions rather than assuming every value adds independent delay. Procedure: Individually change lead/minimum lead, ping count/interval, hold, opacity, scale and launch delay.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Required assertions not yet fully verified: Warning appearance/timing responds within bounds. Note interactions rather than assuming every value adds independent delay. Procedure: Individually change lead/minimum lead, ping count/interval, hold, opacity, scale and launch delay.
Session: S04; scope: Historical evidence only; V2 not executed. See QA_FINALIZATION_V3_JOURNAL.json#DEV-009 and HANDOFF_AND_FIX_QUEUE.md.
FINAL AI 4B.2 (2026-10-07): BLOCKED — HUMAN TESTING REQUIRED [BUDGET / HUMAN QA HANDOFF].
Why AI did not finish: The bounded Final AI testing window did not complete the full compound scenario. This remains AI-suitable or mixed work, handed to Human QA rather than claiming all practical AI testing complete.
AI already proved: No complete independent evidence for the remaining assertions; historical observations remain in the workbook.
Remaining: Warning appearance/timing responds within bounds. Note interactions rather than assuming every value adds independent delay. Procedure: Individually change lead/minimum lead, ping count/interval, hold, opacity, scale and launch delay.
Human action (HQA-17): 1. Use LOCAL DEV; Native browser with fresh QA namespace; restore each value before the next comparison. 2. LOCAL DEV; disposable profile; disable ads except specific integration tests. 3. Execute only the remaining assertion: Warning appearance/timing responds within bounds. Note interactions rather than assuming every value adds independent delay. Procedure: Individually change lead/minimum lead, ping count/interval, hold, opacity, scale and launch delay.
Expected: Warning appearance/timing responds within bounds. Note interactions rather than assuming every value adds independent delay.
Capture: Pass/Fail per ID, screenshot or timestamped video/state snapshot, device/OS/browser versions, viewport/zoom/DPR and a note; compare prior evidence instead of repeating proven subassertions.
Session/evidence: S18; Historical evidence retained; no fresh case execution claimed. Full grouped instructions: HUMAN_QA_FINAL.md#hqa-17.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17" s="42" t="str">
        <x:v>LOCAL DEV; disposable profile; disable ads except specific integration tests.</x:v>
      </x:c>
      <x:c r="H17" s="42" t="str">
        <x:v>Individually change lead/minimum lead, ping count/interval, hold, opacity, scale and launch delay.</x:v>
      </x:c>
      <x:c r="I17" s="42" t="str">
        <x:v>Warning appearance/timing responds within bounds. Note interactions rather than assuming every value adds independent delay.</x:v>
      </x:c>
      <x:c r="J17" s="48" t="str">
        <x:v>C:/Users/mlgjm/OneDrive/Desktop/GameWebsite/outputs/qa-20261006/QA_Evidence/notes/browser-observations.md; V3 journal: C:/Users/mlgjm/OneDrive/Desktop/GameWebsite/outputs/qa-finalization-v3/QA_FINALIZATION_V3_JOURNAL.json#DEV-009
Human QA completion statement, 2026-10-07; prior AI evidence retained.</x:v>
      </x:c>
      <x:c r="K17" s="48"/>
      <x:c r="L17" s="48" t="str">
        <x:v>S20</x:v>
      </x:c>
      <x:c r="M17" s="48" t="str">
        <x:v>Hristo</x:v>
      </x:c>
      <x:c r="N17" s="58" t="n">
        <x:v>46302</x:v>
      </x:c>
      <x:c r="O17" s="54" t="str"/>
    </x:row>
    <x:row r="18" ht="76" customHeight="1">
      <x:c r="A18" s="44" t="str">
        <x:v>DEV-010</x:v>
      </x:c>
      <x:c r="B18" s="44" t="str">
        <x:v>LOCAL DEV</x:v>
      </x:c>
      <x:c r="C18" s="44" t="str">
        <x:v>P1 - Required</x:v>
      </x:c>
      <x:c r="D18" s="44" t="str">
        <x:v>ORBIT • Formation controls: Single</x:v>
      </x:c>
      <x:c r="E18" s="48" t="str">
        <x:v>Pass</x:v>
      </x:c>
      <x:c r="F18" s="48" t="str">
        <x:v>PREVIOUS RESULT: Blocked. HUMAN / ENVIRONMENT FOLLOW-UP REQUIRED: Formation category exposed enabled/weight/unlock/cooldown/consecutive and shot-count controls; single-family behavior was not manipulated. Remaining acceptance criteria were not established in this browser session; complete on the specified supported device/profile or with the missing deterministic setup, then update from direct evidence.
NEW RESULT: NOT_EXECUTED; RUNNABLE.
REASON: Existing evidence needs a targeted comparison against all expected assertions; no V2 browser execution yet.
SCOPE: Historical evidence only; V2 not executed
V3: Blocked [ENVIRONMENT_SETUP]. Proven already: No complete direct evidence; earlier notes retained above.
Remaining: Required assertions not yet fully verified: Control meaning matches label/current rules; manual trigger works; no crash or unexpected hidden duplicate system. Procedure: Sweep enabled, weight, tier weights 1–5, unlock tier, cooldown, repeat cap, count, interval, arc and speed; use FIRE SINGLE.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Required assertions not yet fully verified: Control meaning matches label/current rules; manual trigger works; no crash or unexpected hidden duplicate system. Procedure: Sweep enabled, weight, tier weights 1–5, unlock tier, cooldown, repeat cap, count, interval, arc and speed; use FIRE SINGLE.
Session: S04; scope: Historical evidence only; V2 not executed. See QA_FINALIZATION_V3_JOURNAL.json#DEV-010 and HANDOFF_AND_FIX_QUEUE.md.
FINAL AI 4B.2 (2026-10-07): BLOCKED — HUMAN TESTING REQUIRED [BUDGET / HUMAN QA HANDOFF].
Why AI did not finish: The bounded Final AI testing window did not complete the full compound scenario. This remains AI-suitable or mixed work, handed to Human QA rather than claiming all practical AI testing complete.
AI already proved: No complete independent evidence for the remaining assertions; historical observations remain in the workbook.
Remaining: Control meaning matches label/current rules; manual trigger works; no crash or unexpected hidden duplicate system. Procedure: Sweep enabled, weight, tier weights 1–5, unlock tier, cooldown, repeat cap, count, interval, arc and speed; use FIRE SINGLE.
Human action (HQA-17): 1. Use LOCAL DEV; Native browser with fresh QA namespace; restore each value before the next comparison. 2. LOCAL DEV; disposable profile; disable ads except specific integration tests. 3. Execute only the remaining assertion: Control meaning matches label/current rules; manual trigger works; no crash or unexpected hidden duplicate system. Procedure: Sweep enabled, weight, tier weights 1–5, unlock tier, cooldown, repeat cap, count, interval, arc and speed; use FIRE SINGLE.
Expected: Control meaning matches label/current rules; manual trigger works; no crash or unexpected hidden duplicate system.
Capture: Pass/Fail per ID, screenshot or timestamped video/state snapshot, device/OS/browser versions, viewport/zoom/DPR and a note; compare prior evidence instead of repeating proven subassertions.
Session/evidence: S18; Historical evidence retained; no fresh case execution claimed. Full grouped instructions: HUMAN_QA_FINAL.md#hqa-17.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18" s="44" t="str">
        <x:v>LOCAL DEV; disposable profile; disable ads except specific integration tests.</x:v>
      </x:c>
      <x:c r="H18" s="44" t="str">
        <x:v>Sweep enabled, weight, tier weights 1–5, unlock tier, cooldown, repeat cap, count, interval, arc and speed; use FIRE SINGLE.</x:v>
      </x:c>
      <x:c r="I18" s="44" t="str">
        <x:v>Control meaning matches label/current rules; manual trigger works; no crash or unexpected hidden duplicate system.</x:v>
      </x:c>
      <x:c r="J18" s="48" t="str">
        <x:v>C:/Users/mlgjm/OneDrive/Desktop/GameWebsite/outputs/qa-20261006/QA_Evidence/notes/browser-observations.md; V3 journal: C:/Users/mlgjm/OneDrive/Desktop/GameWebsite/outputs/qa-finalization-v3/QA_FINALIZATION_V3_JOURNAL.json#DEV-010
Human QA completion statement, 2026-10-07; prior AI evidence retained.</x:v>
      </x:c>
      <x:c r="K18" s="48"/>
      <x:c r="L18" s="48" t="str">
        <x:v>S20</x:v>
      </x:c>
      <x:c r="M18" s="48" t="str">
        <x:v>Hristo</x:v>
      </x:c>
      <x:c r="N18" s="58" t="n">
        <x:v>46302</x:v>
      </x:c>
      <x:c r="O18" s="55" t="str"/>
    </x:row>
    <x:row r="19" ht="76" customHeight="1">
      <x:c r="A19" s="42" t="str">
        <x:v>DEV-011</x:v>
      </x:c>
      <x:c r="B19" s="42" t="str">
        <x:v>LOCAL DEV</x:v>
      </x:c>
      <x:c r="C19" s="42" t="str">
        <x:v>P1 - Required</x:v>
      </x:c>
      <x:c r="D19" s="42" t="str">
        <x:v>ORBIT • Formation controls: Double</x:v>
      </x:c>
      <x:c r="E19" s="48" t="str">
        <x:v>Pass</x:v>
      </x:c>
      <x:c r="F19" s="48" t="str">
        <x:v>PREVIOUS RESULT: Blocked. HUMAN / ENVIRONMENT FOLLOW-UP REQUIRED: Formation controls were inspected; double-family behavior was not manipulated. Remaining acceptance criteria were not established in this browser session; complete on the specified supported device/profile or with the missing deterministic setup, then update from direct evidence.
NEW RESULT: NOT_EXECUTED; RUNNABLE.
REASON: Existing evidence needs a targeted comparison against all expected assertions; no V2 browser execution yet.
SCOPE: Historical evidence only; V2 not executed
V3: Blocked [ENVIRONMENT_SETUP]. Proven already: No complete direct evidence; earlier notes retained above.
Remaining: Required assertions not yet fully verified: Sequential direction/shot behavior and relative weights tunable; restore baseline afterward. Procedure: Repeat the formation-control sweep and FIRE DOUBLE.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Required assertions not yet fully verified: Sequential direction/shot behavior and relative weights tunable; restore baseline afterward. Procedure: Repeat the formation-control sweep and FIRE DOUBLE.
Session: S04; scope: Historical evidence only; V2 not executed. See QA_FINALIZATION_V3_JOURNAL.json#DEV-011 and HANDOFF_AND_FIX_QUEUE.md.
FINAL AI 4B.2 (2026-10-07): BLOCKED — HUMAN TESTING REQUIRED [BUDGET / HUMAN QA HANDOFF].
Why AI did not finish: The bounded Final AI testing window did not complete the full compound scenario. This remains AI-suitable or mixed work, handed to Human QA rather than claiming all practical AI testing complete.
AI already proved: No complete independent evidence for the remaining assertions; historical observations remain in the workbook.
Remaining: Sequential direction/shot behavior and relative weights tunable; restore baseline afterward. Procedure: Repeat the formation-control sweep and FIRE DOUBLE.
Human action (HQA-17): 1. Use LOCAL DEV; Native browser with fresh QA namespace; restore each value before the next comparison. 2. LOCAL DEV; disposable profile; disable ads except specific integration tests. 3. Execute only the remaining assertion: Sequential direction/shot behavior and relative weights tunable; restore baseline afterward. Procedure: Repeat the formation-control sweep and FIRE DOUBLE.
Expected: Sequential direction/shot behavior and relative weights tunable; restore baseline afterward.
Capture: Pass/Fail per ID, screenshot or timestamped video/state snapshot, device/OS/browser versions, viewport/zoom/DPR and a note; compare prior evidence instead of repeating proven subassertions.
Session/evidence: S18; Historical evidence retained; no fresh case execution claimed. Full grouped instructions: HUMAN_QA_FINAL.md#hqa-17.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19" s="42" t="str">
        <x:v>LOCAL DEV; disposable profile; disable ads except specific integration tests.</x:v>
      </x:c>
      <x:c r="H19" s="42" t="str">
        <x:v>Repeat the formation-control sweep and FIRE DOUBLE.</x:v>
      </x:c>
      <x:c r="I19" s="42" t="str">
        <x:v>Sequential direction/shot behavior and relative weights tunable; restore baseline afterward.</x:v>
      </x:c>
      <x:c r="J19" s="48" t="str">
        <x:v>C:/Users/mlgjm/OneDrive/Desktop/GameWebsite/outputs/qa-20261006/QA_Evidence/notes/browser-observations.md; V3 journal: C:/Users/mlgjm/OneDrive/Desktop/GameWebsite/outputs/qa-finalization-v3/QA_FINALIZATION_V3_JOURNAL.json#DEV-011
Human QA completion statement, 2026-10-07; prior AI evidence retained.</x:v>
      </x:c>
      <x:c r="K19" s="48"/>
      <x:c r="L19" s="48" t="str">
        <x:v>S20</x:v>
      </x:c>
      <x:c r="M19" s="48" t="str">
        <x:v>Hristo</x:v>
      </x:c>
      <x:c r="N19" s="58" t="n">
        <x:v>46302</x:v>
      </x:c>
      <x:c r="O19" s="54" t="str"/>
    </x:row>
    <x:row r="20" ht="76" customHeight="1">
      <x:c r="A20" s="44" t="str">
        <x:v>DEV-012</x:v>
      </x:c>
      <x:c r="B20" s="44" t="str">
        <x:v>LOCAL DEV</x:v>
      </x:c>
      <x:c r="C20" s="44" t="str">
        <x:v>P1 - Required</x:v>
      </x:c>
      <x:c r="D20" s="44" t="str">
        <x:v>ORBIT • Formation controls: Arrow</x:v>
      </x:c>
      <x:c r="E20" s="48" t="str">
        <x:v>Pass</x:v>
      </x:c>
      <x:c r="F20" s="48" t="str">
        <x:v>PREVIOUS RESULT: Blocked. HUMAN / ENVIRONMENT FOLLOW-UP REQUIRED: Formation controls were inspected; arrow-family behavior was not manipulated. Remaining acceptance criteria were not established in this browser session; complete on the specified supported device/profile or with the missing deterministic setup, then update from direct evidence.
NEW RESULT: NOT_EXECUTED; RUNNABLE.
REASON: Existing evidence needs a targeted comparison against all expected assertions; no V2 browser execution yet.
SCOPE: Historical evidence only; V2 not executed
V3: Blocked [ENVIRONMENT_SETUP]. Proven already: No complete direct evidence; earlier notes retained above.
Remaining: Required assertions not yet fully verified: Fan/arrow arc, count, speed and availability respond; no input lock. Procedure: Repeat the formation-control sweep and FIRE ARROW.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Required assertions not yet fully verified: Fan/arrow arc, count, speed and availability respond; no input lock. Procedure: Repeat the formation-control sweep and FIRE ARROW.
Session: S04; scope: Historical evidence only; V2 not executed. See QA_FINALIZATION_V3_JOURNAL.json#DEV-012 and HANDOFF_AND_FIX_QUEUE.md.
FINAL AI 4B.2 (2026-10-07): BLOCKED — HUMAN TESTING REQUIRED [BUDGET / HUMAN QA HANDOFF].
Why AI did not finish: The bounded Final AI testing window did not complete the full compound scenario. This remains AI-suitable or mixed work, handed to Human QA rather than claiming all practical AI testing complete.
AI already proved: No complete independent evidence for the remaining assertions; historical observations remain in the workbook.
Remaining: Fan/arrow arc, count, speed and availability respond; no input lock. Procedure: Repeat the formation-control sweep and FIRE ARROW.
Human action (HQA-17): 1. Use LOCAL DEV; Native browser with fresh QA namespace; restore each value before the next comparison. 2. LOCAL DEV; disposable profile; disable ads except specific integration tests. 3. Execute only the remaining assertion: Fan/arrow arc, count, speed and availability respond; no input lock. Procedure: Repeat the formation-control sweep and FIRE ARROW.
Expected: Fan/arrow arc, count, speed and availability respond; no input lock.
Capture: Pass/Fail per ID, screenshot or timestamped video/state snapshot, device/OS/browser versions, viewport/zoom/DPR and a note; compare prior evidence instead of repeating proven subassertions.
Session/evidence: S18; Historical evidence retained; no fresh case execution claimed. Full grouped instructions: HUMAN_QA_FINAL.md#hqa-17.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20" s="44" t="str">
        <x:v>LOCAL DEV; disposable profile; disable ads except specific integration tests.</x:v>
      </x:c>
      <x:c r="H20" s="44" t="str">
        <x:v>Repeat the formation-control sweep and FIRE ARROW.</x:v>
      </x:c>
      <x:c r="I20" s="44" t="str">
        <x:v>Fan/arrow arc, count, speed and availability respond; no input lock.</x:v>
      </x:c>
      <x:c r="J20" s="48" t="str">
        <x:v>C:/Users/mlgjm/OneDrive/Desktop/GameWebsite/outputs/qa-20261006/QA_Evidence/notes/browser-observations.md; V3 journal: C:/Users/mlgjm/OneDrive/Desktop/GameWebsite/outputs/qa-finalization-v3/QA_FINALIZATION_V3_JOURNAL.json#DEV-012
Human QA completion statement, 2026-10-07; prior AI evidence retained.</x:v>
      </x:c>
      <x:c r="K20" s="48"/>
      <x:c r="L20" s="48" t="str">
        <x:v>S20</x:v>
      </x:c>
      <x:c r="M20" s="48" t="str">
        <x:v>Hristo</x:v>
      </x:c>
      <x:c r="N20" s="58" t="n">
        <x:v>46302</x:v>
      </x:c>
      <x:c r="O20" s="55" t="str"/>
    </x:row>
    <x:row r="21" ht="76" customHeight="1">
      <x:c r="A21" s="42" t="str">
        <x:v>DEV-013</x:v>
      </x:c>
      <x:c r="B21" s="42" t="str">
        <x:v>LOCAL DEV</x:v>
      </x:c>
      <x:c r="C21" s="42" t="str">
        <x:v>P1 - Required</x:v>
      </x:c>
      <x:c r="D21" s="42" t="str">
        <x:v>ORBIT • Formation controls: Line</x:v>
      </x:c>
      <x:c r="E21" s="48" t="str">
        <x:v>Pass</x:v>
      </x:c>
      <x:c r="F21" s="48" t="str">
        <x:v>PREVIOUS RESULT: Blocked. HUMAN / ENVIRONMENT FOLLOW-UP REQUIRED: Formation controls were inspected; line-family behavior was not manipulated. Remaining acceptance criteria were not established in this browser session; complete on the specified supported device/profile or with the missing deterministic setup, then update from direct evidence.
NEW RESULT: NOT_EXECUTED; RUNNABLE.
REASON: Existing evidence needs a targeted comparison against all expected assertions; no V2 browser execution yet.
SCOPE: Historical evidence only; V2 not executed
V3: Blocked [ENVIRONMENT_SETUP]. Proven already: No complete direct evidence; earlier notes retained above.
Remaining: Required assertions not yet fully verified: Arc sequence reverses appropriately; valid counts/intervals render. Procedure: Repeat common fields; test sweep direction ±1 and FIRE LINE.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Required assertions not yet fully verified: Arc sequence reverses appropriately; valid counts/intervals render. Procedure: Repeat common fields; test sweep direction ±1 and FIRE LINE.
Session: S04; scope: Historical evidence only; V2 not executed. See QA_FINALIZATION_V3_JOURNAL.json#DEV-013 and HANDOFF_AND_FIX_QUEUE.md.
FINAL AI 4B.2 (2026-10-07): BLOCKED — HUMAN TESTING REQUIRED [BUDGET / HUMAN QA HANDOFF].
Why AI did not finish: The bounded Final AI testing window did not complete the full compound scenario. This remains AI-suitable or mixed work, handed to Human QA rather than claiming all practical AI testing complete.
AI already proved: No complete independent evidence for the remaining assertions; historical observations remain in the workbook.
Remaining: Arc sequence reverses appropriately; valid counts/intervals render. Procedure: Repeat common fields; test sweep direction ±1 and FIRE LINE.
Human action (HQA-17): 1. Use LOCAL DEV; Native browser with fresh QA namespace; restore each value before the next comparison. 2. LOCAL DEV; disposable profile; disable ads except specific integration tests. 3. Execute only the remaining assertion: Arc sequence reverses appropriately; valid counts/intervals render. Procedure: Repeat common fields; test sweep direction ±1 and FIRE LINE.
Expected: Arc sequence reverses appropriately; valid counts/intervals render.
Capture: Pass/Fail per ID, screenshot or timestamped video/state snapshot, device/OS/browser versions, viewport/zoom/DPR and a note; compare prior evidence instead of repeating proven subassertions.
Session/evidence: S18; Historical evidence retained; no fresh case execution claimed. Full grouped instructions: HUMAN_QA_FINAL.md#hqa-17.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21" s="42" t="str">
        <x:v>LOCAL DEV; disposable profile; disable ads except specific integration tests.</x:v>
      </x:c>
      <x:c r="H21" s="42" t="str">
        <x:v>Repeat common fields; test sweep direction ±1 and FIRE LINE.</x:v>
      </x:c>
      <x:c r="I21" s="42" t="str">
        <x:v>Arc sequence reverses appropriately; valid counts/intervals render.</x:v>
      </x:c>
      <x:c r="J21" s="48" t="str">
        <x:v>C:/Users/mlgjm/OneDrive/Desktop/GameWebsite/outputs/qa-20261006/QA_Evidence/notes/browser-observations.md; V3 journal: C:/Users/mlgjm/OneDrive/Desktop/GameWebsite/outputs/qa-finalization-v3/QA_FINALIZATION_V3_JOURNAL.json#DEV-013
Human QA completion statement, 2026-10-07; prior AI evidence retained.</x:v>
      </x:c>
      <x:c r="K21" s="48"/>
      <x:c r="L21" s="48" t="str">
        <x:v>S20</x:v>
      </x:c>
      <x:c r="M21" s="48" t="str">
        <x:v>Hristo</x:v>
      </x:c>
      <x:c r="N21" s="58" t="n">
        <x:v>46302</x:v>
      </x:c>
      <x:c r="O21" s="54" t="str"/>
    </x:row>
    <x:row r="22" ht="76" customHeight="1">
      <x:c r="A22" s="44" t="str">
        <x:v>DEV-014</x:v>
      </x:c>
      <x:c r="B22" s="44" t="str">
        <x:v>LOCAL DEV</x:v>
      </x:c>
      <x:c r="C22" s="44" t="str">
        <x:v>P1 - Required</x:v>
      </x:c>
      <x:c r="D22" s="44" t="str">
        <x:v>ORBIT • Formation controls: Bombardment</x:v>
      </x:c>
      <x:c r="E22" s="48" t="str">
        <x:v>Pass</x:v>
      </x:c>
      <x:c r="F22" s="48" t="str">
        <x:v>PREVIOUS RESULT: Blocked. HUMAN / ENVIRONMENT FOLLOW-UP REQUIRED: Formation controls were inspected; bombardment-family behavior was not manipulated. Remaining acceptance criteria were not established in this browser session; complete on the specified supported device/profile or with the missing deterministic setup, then update from direct evidence.
NEW RESULT: NOT_EXECUTED; RUNNABLE.
REASON: Existing evidence needs a targeted comparison against all expected assertions; no V2 browser execution yet.
SCOPE: Historical evidence only; V2 not executed
V3: Blocked [ENVIRONMENT_SETUP]. Proven already: No complete direct evidence; earlier notes retained above.
Remaining: Required assertions not yet fully verified: Bounded spread/density; no unbounded projectiles. Fairness feel is logged separately from operation. Procedure: Sweep common fields plus arc maximum and min angle gap; trigger at early/late eligible difficulty.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Required assertions not yet fully verified: Bounded spread/density; no unbounded projectiles. Fairness feel is logged separately from operation. Procedure: Sweep common fields plus arc maximum and min angle gap; trigger at early/late eligible difficulty.
Session: S04; scope: Historical evidence only; V2 not executed. See QA_FINALIZATION_V3_JOURNAL.json#DEV-014 and HANDOFF_AND_FIX_QUEUE.md.
FINAL AI 4B.2 (2026-10-07): BLOCKED — HUMAN TESTING REQUIRED [BUDGET / HUMAN QA HANDOFF].
Why AI did not finish: The bounded Final AI testing window did not complete the full compound scenario. This remains AI-suitable or mixed work, handed to Human QA rather than claiming all practical AI testing complete.
AI already proved: No complete independent evidence for the remaining assertions; historical observations remain in the workbook.
Remaining: Bounded spread/density; no unbounded projectiles. Fairness feel is logged separately from operation. Procedure: Sweep common fields plus arc maximum and min angle gap; trigger at early/late eligible difficulty.
Human action (HQA-17): 1. Use LOCAL DEV; Native browser with fresh QA namespace; restore each value before the next comparison. 2. LOCAL DEV; disposable profile; disable ads except specific integration tests. 3. Execute only the remaining assertion: Bounded spread/density; no unbounded projectiles. Fairness feel is logged separately from operation. Procedure: Sweep common fields plus arc maximum and min angle gap; trigger at early/late eligible difficulty.
Expected: Bounded spread/density; no unbounded projectiles. Fairness feel is logged separately from operation.
Capture: Pass/Fail per ID, screenshot or timestamped video/state snapshot, device/OS/browser versions, viewport/zoom/DPR and a note; compare prior evidence instead of repeating proven subassertions.
Session/evidence: S18; Historical evidence retained; no fresh case execution claimed. Full grouped instructions: HUMAN_QA_FINAL.md#hqa-17.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22" s="44" t="str">
        <x:v>LOCAL DEV; disposable profile; disable ads except specific integration tests.</x:v>
      </x:c>
      <x:c r="H22" s="44" t="str">
        <x:v>Sweep common fields plus arc maximum and min angle gap; trigger at early/late eligible difficulty.</x:v>
      </x:c>
      <x:c r="I22" s="44" t="str">
        <x:v>Bounded spread/density; no unbounded projectiles. Fairness feel is logged separately from operation.</x:v>
      </x:c>
      <x:c r="J22" s="48" t="str">
        <x:v>C:/Users/mlgjm/OneDrive/Desktop/GameWebsite/outputs/qa-20261006/QA_Evidence/notes/browser-observations.md; V3 journal: C:/Users/mlgjm/OneDrive/Desktop/GameWebsite/outputs/qa-finalization-v3/QA_FINALIZATION_V3_JOURNAL.json#DEV-014
Human QA completion statement, 2026-10-07; prior AI evidence retained.</x:v>
      </x:c>
      <x:c r="K22" s="48"/>
      <x:c r="L22" s="48" t="str">
        <x:v>S20</x:v>
      </x:c>
      <x:c r="M22" s="48" t="str">
        <x:v>Hristo</x:v>
      </x:c>
      <x:c r="N22" s="58" t="n">
        <x:v>46302</x:v>
      </x:c>
      <x:c r="O22" s="55" t="str"/>
    </x:row>
    <x:row r="23" ht="76" customHeight="1">
      <x:c r="A23" s="42" t="str">
        <x:v>DEV-015</x:v>
      </x:c>
      <x:c r="B23" s="42" t="str">
        <x:v>LOCAL DEV</x:v>
      </x:c>
      <x:c r="C23" s="42" t="str">
        <x:v>P1 - Required</x:v>
      </x:c>
      <x:c r="D23" s="42" t="str">
        <x:v>ORBIT • Current/next/available formation</x:v>
      </x:c>
      <x:c r="E23" s="48" t="str">
        <x:v>Pass</x:v>
      </x:c>
      <x:c r="F23" s="48" t="str">
        <x:v>PREVIOUS RESULT: Pass. Run diagnostics showed current/next/available formation at menu and while running; controlled difficulty-tier changes refreshed the available formation pool.
NEW RESULT: NOT_EXECUTED; RUNNABLE.
REASON: Existing evidence needs a targeted comparison against all expected assertions; no V2 browser execution yet.
SCOPE: Historical evidence only; V2 not executed
V3: Blocked [ENVIRONMENT_SETUP]. Proven already: No complete direct evidence; earlier notes retained above.
Remaining: Required assertions not yet fully verified: Labels reflect current/eligible state. Do not treat a predicted next pattern as a guaranteed queued attack. Procedure: Change enabled pool and difficulty; watch diagnostics before/after firing.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Required assertions not yet fully verified: Labels reflect current/eligible state. Do not treat a predicted next pattern as a guaranteed queued attack. Procedure: Change enabled pool and difficulty; watch diagnostics before/after firing.
Session: S04; scope: Historical evidence only; V2 not executed. See QA_FINALIZATION_V3_JOURNAL.json#DEV-015 and HANDOFF_AND_FIX_QUEUE.md.
FINAL AI 4B.2 (2026-10-07): Pass. Actual Single-only current/Next/poolSingle and Double-only current afterFIRE. Cooldown excludedDouble with Next/poolnone; cooldown0 returnedDouble. Separate fresh Double-only unlock5: Setdifficulty1 actualtier1 showed poolnone; Setdifficulty5 actualtier5 showed poolDouble. Readouts match enabled/difficulty/eligibility; Next treated as prediction not guaranteed queue.
Session/evidence: S18; QA_Evidence/observations.json.</x:v>
      </x:c>
      <x:c r="G23" s="42" t="str">
        <x:v>LOCAL DEV; disposable profile; disable ads except specific integration tests.</x:v>
      </x:c>
      <x:c r="H23" s="42" t="str">
        <x:v>Change enabled pool and difficulty; watch diagnostics before/after firing.</x:v>
      </x:c>
      <x:c r="I23" s="42" t="str">
        <x:v>Labels reflect current/eligible state. Do not treat a predicted next pattern as a guaranteed queued attack.</x:v>
      </x:c>
      <x:c r="J23" s="48" t="str">
        <x:v>C:/Users/mlgjm/OneDrive/Desktop/GameWebsite/outputs/qa-20261006/QA_Evidence/notes/browser-observations.md; V3 journal: C:/Users/mlgjm/OneDrive/Desktop/GameWebsite/outputs/qa-finalization-v3/QA_FINALIZATION_V3_JOURNAL.json#DEV-015; FINAL AI: C:/Users/mlgjm/OneDrive/Desktop/GameWebsite/outputs/qa-final-ai/2026-10-07_000739/QA_Evidence/observations.json</x:v>
      </x:c>
      <x:c r="K23" s="48"/>
      <x:c r="L23" s="48" t="str">
        <x:v>S18</x:v>
      </x:c>
      <x:c r="M23" s="48" t="str">
        <x:v>Codex Final AI QA</x:v>
      </x:c>
      <x:c r="N23" s="58" t="n">
        <x:v>46301.8803125</x:v>
      </x:c>
      <x:c r="O23" s="54" t="str"/>
    </x:row>
    <x:row r="24" ht="76" customHeight="1">
      <x:c r="A24" s="44" t="str">
        <x:v>DEV-016</x:v>
      </x:c>
      <x:c r="B24" s="44" t="str">
        <x:v>LOCAL DEV</x:v>
      </x:c>
      <x:c r="C24" s="44" t="str">
        <x:v>P1 - Required</x:v>
      </x:c>
      <x:c r="D24" s="44" t="str">
        <x:v>ORBIT • Profile score tools</x:v>
      </x:c>
      <x:c r="E24" s="48" t="str">
        <x:v>Pass</x:v>
      </x:c>
      <x:c r="F24" s="48" t="str">
        <x:v>PREVIOUS RESULT: Blocked. HUMAN / ENVIRONMENT FOLLOW-UP REQUIRED: Profile panel showed localStorage storage, Level 1, XP 0, Stars 0, best 207 and test/reset buttons; profile mutations were not made. Remaining acceptance criteria were not established in this browser session; complete on the specified supported device/profile or with the missing deterministic setup, then update from direct evidence.
NEW RESULT: PASS; COMPLETED.
REASON: Paused run score set500 then +100 visibly600 with best1270 unchanged. Generate/add artificial scores displayed1200/810/700/420/250 alongside real scores; Clear artificial removed these and retained real entries. Reload also cleared preview without storing score600 or altering best/profile.
SCOPE: LOCAL DEV 5191
V3: Pass; retained V2 evidence, not rerun. 
Session: V2-DEV; scope: LOCAL DEV 5191. See QA_FINALIZATION_V3_JOURNAL.json#DEV-016 and HANDOFF_AND_FIX_QUEUE.md.
Retained prior verified evidence — not rerun in Final AI pass.</x:v>
      </x:c>
      <x:c r="G24" s="44" t="str">
        <x:v>LOCAL DEV; disposable profile; disable ads except specific integration tests.</x:v>
      </x:c>
      <x:c r="H24" s="44" t="str">
        <x:v>Set score, add 100, generate/add/clear artificial scores.</x:v>
      </x:c>
      <x:c r="I24" s="44" t="str">
        <x:v>Current run reflects offset; artificial score preview remains separate from stored scores until intended finalization.</x:v>
      </x:c>
      <x:c r="J24" s="48" t="str">
        <x:v>C:/Users/mlgjm/OneDrive/Desktop/GameWebsite/outputs/qa-recovery-v2/QA_Evidence/orbit-profile-score-offset.txt; C:/Users/mlgjm/OneDrive/Desktop/GameWebsite/outputs/qa-recovery-v2/QA_Evidence/orbit-artificial-scores-menu-preview.txt; C:/Users/mlgjm/OneDrive/Desktop/GameWebsite/outputs/qa-recovery-v2/QA_Evidence/orbit-artificial-scores-cleared.txt; C:/Users/mlgjm/OneDrive/Desktop/GameWebsite/outputs/qa-recovery-v2/QA_Evidence/orbit-scores-after-preview-reload.txt; historical: C:/Users/mlgjm/OneDrive/Desktop/GameWebsite/outputs/qa-20261006/QA_Evidence/notes/browser-observations.md; V3 journal: C:/Users/mlgjm/OneDrive/Desktop/GameWebsite/outputs/qa-finalization-v3/QA_FINALIZATION_V3_JOURNAL.json#DEV-016</x:v>
      </x:c>
      <x:c r="K24" s="48"/>
      <x:c r="L24" s="48" t="str">
        <x:v>V2-DEV</x:v>
      </x:c>
      <x:c r="M24" s="48" t="str">
        <x:v>Codex QA</x:v>
      </x:c>
      <x:c r="N24" s="58" t="n">
        <x:v>46301</x:v>
      </x:c>
      <x:c r="O24" s="55" t="str"/>
    </x:row>
    <x:row r="25" ht="76" customHeight="1">
      <x:c r="A25" s="42" t="str">
        <x:v>DEV-017</x:v>
      </x:c>
      <x:c r="B25" s="42" t="str">
        <x:v>LOCAL DEV</x:v>
      </x:c>
      <x:c r="C25" s="42" t="str">
        <x:v>P1 - Required</x:v>
      </x:c>
      <x:c r="D25" s="42" t="str">
        <x:v>ORBIT • Profile reset scopes</x:v>
      </x:c>
      <x:c r="E25" s="48" t="str">
        <x:v>Pass</x:v>
      </x:c>
      <x:c r="F25" s="48" t="str">
        <x:v>PREVIOUS RESULT: Blocked. HUMAN / ENVIRONMENT FOLLOW-UP REQUIRED: Profile reset and persistent-score reset controls were visible but not opened or executed. Remaining acceptance criteria were not established in this browser session; complete on the specified supported device/profile or with the missing deterministic setup, then update from direct evidence.
NEW RESULT: NOT_EXECUTED; RUNNABLE.
REASON: Existing evidence needs a targeted comparison against all expected assertions; no V2 browser execution yet.
SCOPE: Historical evidence only; V2 not executed
V3: Blocked [TOOL_LIMITATION]. Proven already: No complete direct evidence; earlier notes retained above.
Remaining: Required assertions not yet fully verified: Correct data scope; best-preservation promise honored for profile reset; no Reactor/site data erased. Procedure: In disposable profile test persistent-score reset and profile reset; cancel confirmation first where present.
Specific reason: Known native confirmation is inaccessible to documented dialog tools. Do not re-enter or confirm deletion to recover automation; arrange supported Cancel and isolated backed-up manual reset testing.
Attempted this run: no. Owner: Engineer. Next step: Establish the specific required fixture/tool/runtime, then Human tester executes: Required assertions not yet fully verified: Correct data scope; best-preservation promise honored for profile reset; no Reactor/site data erased. Procedure: In disposable profile test persistent-score reset and profile reset; cancel confirmation first where present.
Session: S04; scope: Historical evidence only; V2 not executed. See QA_FINALIZATION_V3_JOURNAL.json#DEV-017 and HANDOFF_AND_FIX_QUEUE.md.
FINAL AI 4B.2 (2026-10-07): BLOCKED — HUMAN TESTING REQUIRED [BUDGET / HUMAN QA HANDOFF].
Why AI did not finish: The bounded Final AI testing window did not complete the full compound scenario. This remains AI-suitable or mixed work, handed to Human QA rather than claiming all practical AI testing complete.
AI already proved: Scoped QA Profile reset Cancel retainedlevel3/Stars100/best2214; confirm restoredlevel1/Stars0 with best2214preserved. Separate persistent-score resetbest0; Reactor Best100 sentinel survived and site theme retained.
Remaining: Verify mute, quest progress and owned/equipped cosmetic preservation/deletion for each reset scope with positive nondefault fixtures; those fields were at defaults in this trial.
Human action (HQA-18): 1. Use LOCAL DEV; Disposable QA namespace with positive XP, Stars, quests, cosmetics and mute fixtures. 2. LOCAL DEV; disposable profile; disable ads except specific integration tests. 3. Execute only the remaining assertion: Verify mute, quest progress and owned/equipped cosmetic preservation/deletion for each reset scope with positive nondefault fixtures; those fields were at defaults in this trial.
Expected: Correct data scope; best-preservation promise honored for profile reset; no Reactor/site data erased.
Capture: Pass/Fail per ID, screenshot or timestamped video/state snapshot, device/OS/browser versions, viewport/zoom/DPR and a note; compare prior evidence instead of repeating proven subassertions.
Session/evidence: S18; QA_Evidence/observations.json. Full grouped instructions: HUMAN_QA_FINAL.md#hqa-18.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25" s="42" t="str">
        <x:v>LOCAL DEV; disposable profile; disable ads except specific integration tests.</x:v>
      </x:c>
      <x:c r="H25" s="42" t="str">
        <x:v>In disposable profile test persistent-score reset and profile reset; cancel confirmation first where present.</x:v>
      </x:c>
      <x:c r="I25" s="42" t="str">
        <x:v>Correct data scope; best-preservation promise honored for profile reset; no Reactor/site data erased.</x:v>
      </x:c>
      <x:c r="J25" s="48" t="str">
        <x:v>C:/Users/mlgjm/OneDrive/Desktop/GameWebsite/outputs/qa-20261006/QA_Evidence/notes/browser-observations.md; V3 journal: C:/Users/mlgjm/OneDrive/Desktop/GameWebsite/outputs/qa-finalization-v3/QA_FINALIZATION_V3_JOURNAL.json#DEV-017; FINAL AI: C:/Users/mlgjm/OneDrive/Desktop/GameWebsite/outputs/qa-final-ai/2026-10-07_000739/QA_Evidence/observations.json
Human QA completion statement, 2026-10-07; prior AI evidence retained.</x:v>
      </x:c>
      <x:c r="K25" s="48"/>
      <x:c r="L25" s="48" t="str">
        <x:v>S20</x:v>
      </x:c>
      <x:c r="M25" s="48" t="str">
        <x:v>Hristo</x:v>
      </x:c>
      <x:c r="N25" s="58" t="n">
        <x:v>46302</x:v>
      </x:c>
      <x:c r="O25" s="54" t="str"/>
    </x:row>
    <x:row r="26" ht="76" customHeight="1">
      <x:c r="A26" s="44" t="str">
        <x:v>DEV-018</x:v>
      </x:c>
      <x:c r="B26" s="44" t="str">
        <x:v>LOCAL DEV</x:v>
      </x:c>
      <x:c r="C26" s="44" t="str">
        <x:v>P1 - Required</x:v>
      </x:c>
      <x:c r="D26" s="44" t="str">
        <x:v>ORBIT • Five quest-slot controls</x:v>
      </x:c>
      <x:c r="E26" s="48" t="str">
        <x:v>Pass</x:v>
      </x:c>
      <x:c r="F26" s="48" t="str">
        <x:v>PREVIOUS RESULT: Blocked. HUMAN / ENVIRONMENT FOLLOW-UP REQUIRED: Quests panel displayed per-slot progress/target and Complete/Refresh controls; all-slot mutation was not attempted. Remaining acceptance criteria were not established in this browser session; complete on the specified supported device/profile or with the missing deterministic setup, then update from direct evidence.
NEW RESULT: PASS; COMPLETED.
REASON: All five slots individually changed target/progress, completed, and refreshed; RefreshAll generated five fresh0-progress quests. Second sweep public UI showed11/11,12/12,13/13,14/14,15/15 with five separate CLAIM buttons, XP20/Stars10 unchanged.
SCOPE: LOCAL DEV 5191
V3: Pass; retained V2 evidence, not rerun. 
Session: V2-DEV; scope: LOCAL DEV 5191. See QA_FINALIZATION_V3_JOURNAL.json#DEV-018 and HANDOFF_AND_FIX_QUEUE.md.
Retained prior verified evidence — not rerun in Final AI pass.</x:v>
      </x:c>
      <x:c r="G26" s="44" t="str">
        <x:v>LOCAL DEV; disposable profile; disable ads except specific integration tests.</x:v>
      </x:c>
      <x:c r="H26" s="44" t="str">
        <x:v>For slots 1–5 change progress/target; complete and refresh a slot; refresh all.</x:v>
      </x:c>
      <x:c r="I26" s="44" t="str">
        <x:v>Correct slot updated; complete does not silently claim; persistent changes labelled accurately.</x:v>
      </x:c>
      <x:c r="J26" s="48" t="str">
        <x:v>C:/Users/mlgjm/OneDrive/Desktop/GameWebsite/outputs/qa-recovery-v2/QA_Evidence/orbit-five-quest-slot-controls.json; C:/Users/mlgjm/OneDrive/Desktop/GameWebsite/outputs/qa-recovery-v2/QA_Evidence/orbit-refresh-all-quests.txt; C:/Users/mlgjm/OneDrive/Desktop/GameWebsite/outputs/qa-recovery-v2/QA_Evidence/orbit-quest-controls-public-state.txt; C:/Users/mlgjm/OneDrive/Desktop/GameWebsite/outputs/qa-recovery-v2/QA_Evidence/orbit-five-complete-not-claimed.txt; historical: C:/Users/mlgjm/OneDrive/Desktop/GameWebsite/outputs/qa-20261006/QA_Evidence/notes/browser-observations.md; V3 journal: C:/Users/mlgjm/OneDrive/Desktop/GameWebsite/outputs/qa-finalization-v3/QA_FINALIZATION_V3_JOURNAL.json#DEV-018</x:v>
      </x:c>
      <x:c r="K26" s="48"/>
      <x:c r="L26" s="48" t="str">
        <x:v>V2-DEV</x:v>
      </x:c>
      <x:c r="M26" s="48" t="str">
        <x:v>Codex QA</x:v>
      </x:c>
      <x:c r="N26" s="58" t="n">
        <x:v>46301</x:v>
      </x:c>
      <x:c r="O26" s="55" t="str"/>
    </x:row>
    <x:row r="27" ht="76" customHeight="1">
      <x:c r="A27" s="42" t="str">
        <x:v>DEV-019</x:v>
      </x:c>
      <x:c r="B27" s="42" t="str">
        <x:v>LOCAL DEV</x:v>
      </x:c>
      <x:c r="C27" s="42" t="str">
        <x:v>P1 - Required</x:v>
      </x:c>
      <x:c r="D27" s="42" t="str">
        <x:v>ORBIT • Quest-template switches/weights</x:v>
      </x:c>
      <x:c r="E27" s="48" t="str">
        <x:v>Pass</x:v>
      </x:c>
      <x:c r="F27" s="48" t="str">
        <x:v>PREVIOUS RESULT: Pass. In isolated S04, disabled all quest template toggles except survive and assigned weight 20; Refresh all produced five survive quests. Restored all original toggles and weights afterward.
NEW RESULT: PASS; COMPLETED.
REASON: Disabled seven templates, enabled score with weight10; RefreshAll produced five score-only250-target quests, no automatic XP/Stars. Reload restored all eight enabled defaults and new RefreshAll used varied pool. Weighted randomness distribution is unit/source scope, not inferred from five GUI draws.
SCOPE: LOCAL DEV 5191
V3: Pass; retained V2 evidence, not rerun. 
Session: V2-DEV; scope: LOCAL DEV 5191. See QA_FINALIZATION_V3_JOURNAL.json#DEV-019 and HANDOFF_AND_FIX_QUEUE.md.
Retained prior verified evidence — not rerun in Final AI pass.</x:v>
      </x:c>
      <x:c r="G27" s="42" t="str">
        <x:v>LOCAL DEV; disposable profile; disable ads except specific integration tests.</x:v>
      </x:c>
      <x:c r="H27" s="42" t="str">
        <x:v>Disable one template and refresh; adjust weights then reset.</x:v>
      </x:c>
      <x:c r="I27" s="42" t="str">
        <x:v>Only enabled weighted pool used for new quests; no auto rewards; no claim of unexposed target-formula controls.</x:v>
      </x:c>
      <x:c r="J27" s="48" t="str">
        <x:v>C:/Users/mlgjm/OneDrive/Desktop/GameWebsite/outputs/qa-recovery-v2/QA_Evidence/orbit-single-template-pool.txt; C:/Users/mlgjm/OneDrive/Desktop/GameWebsite/outputs/qa-recovery-v2/QA_Evidence/orbit-score-only-public-quests.txt; C:/Users/mlgjm/OneDrive/Desktop/GameWebsite/outputs/qa-recovery-v2/QA_Evidence/orbit-quest-template-defaults-restored.txt; historical: C:/Users/mlgjm/OneDrive/Desktop/GameWebsite/outputs/qa-20261006/QA_Evidence/notes/browser-observations.md; V3 journal: C:/Users/mlgjm/OneDrive/Desktop/GameWebsite/outputs/qa-finalization-v3/QA_FINALIZATION_V3_JOURNAL.json#DEV-019</x:v>
      </x:c>
      <x:c r="K27" s="48"/>
      <x:c r="L27" s="48" t="str">
        <x:v>V2-DEV</x:v>
      </x:c>
      <x:c r="M27" s="48" t="str">
        <x:v>Codex QA</x:v>
      </x:c>
      <x:c r="N27" s="58" t="n">
        <x:v>46301</x:v>
      </x:c>
      <x:c r="O27" s="54" t="str"/>
    </x:row>
    <x:row r="28" ht="76" customHeight="1">
      <x:c r="A28" s="44" t="str">
        <x:v>DEV-020</x:v>
      </x:c>
      <x:c r="B28" s="44" t="str">
        <x:v>LOCAL DEV</x:v>
      </x:c>
      <x:c r="C28" s="44" t="str">
        <x:v>P1 - Required</x:v>
      </x:c>
      <x:c r="D28" s="44" t="str">
        <x:v>ORBIT • XP / level test actions</x:v>
      </x:c>
      <x:c r="E28" s="48" t="str">
        <x:v>Pass</x:v>
      </x:c>
      <x:c r="F28" s="48" t="str">
        <x:v>PREVIOUS RESULT: Blocked. HUMAN / ENVIRONMENT FOLLOW-UP REQUIRED: XP/Economy panel exposed persistent XP/level/stars test controls; no persistent values were changed. Remaining acceptance criteria were not established in this browser session; complete on the specified supported device/profile or with the missing deterministic setup, then update from direct evidence.
NEW RESULT: PASS; COMPLETED.
REASON: XP95 +20 crossed level1 requirement100, retained overflow15 at level2/120. SetLevel9 then TriggerLevelUp produced level10/MAX; repeating stayed10. Reload preserved level10 and wallet. Restored QA level1/XP20 afterward.
SCOPE: LOCAL DEV 5191
V3: Pass; retained V2 evidence, not rerun. 
Session: V2-DEV; scope: LOCAL DEV 5191. See QA_FINALIZATION_V3_JOURNAL.json#DEV-020 and HANDOFF_AND_FIX_QUEUE.md.
Retained prior verified evidence — not rerun in Final AI pass.</x:v>
      </x:c>
      <x:c r="G28" s="44" t="str">
        <x:v>LOCAL DEV; disposable profile; disable ads except specific integration tests.</x:v>
      </x:c>
      <x:c r="H28" s="44" t="str">
        <x:v>Set/add XP, set Level, trigger level-up; test near cap.</x:v>
      </x:c>
      <x:c r="I28" s="44" t="str">
        <x:v>Cumulative overflow retained; cap10; state/profile changes explicit and persisted when labelled.</x:v>
      </x:c>
      <x:c r="J28" s="48" t="str">
        <x:v>C:/Users/mlgjm/OneDrive/Desktop/GameWebsite/outputs/qa-recovery-v2/QA_Evidence/orbit-xp-overflow-115.txt; C:/Users/mlgjm/OneDrive/Desktop/GameWebsite/outputs/qa-recovery-v2/QA_Evidence/orbit-xp-level-ten.txt; C:/Users/mlgjm/OneDrive/Desktop/GameWebsite/outputs/qa-recovery-v2/QA_Evidence/orbit-xp-wallet-persistence.txt; C:/Users/mlgjm/OneDrive/Desktop/GameWebsite/outputs/qa-recovery-v2/QA_Evidence/orbit-profile-values-restored.txt; historical: C:/Users/mlgjm/OneDrive/Desktop/GameWebsite/outputs/qa-20261006/QA_Evidence/notes/browser-observations.md; V3 journal: C:/Users/mlgjm/OneDrive/Desktop/GameWebsite/outputs/qa-finalization-v3/QA_FINALIZATION_V3_JOURNAL.json#DEV-020</x:v>
      </x:c>
      <x:c r="K28" s="48"/>
      <x:c r="L28" s="48" t="str">
        <x:v>V2-DEV</x:v>
      </x:c>
      <x:c r="M28" s="48" t="str">
        <x:v>Codex QA</x:v>
      </x:c>
      <x:c r="N28" s="58" t="n">
        <x:v>46301</x:v>
      </x:c>
      <x:c r="O28" s="55" t="str"/>
    </x:row>
    <x:row r="29" ht="76" customHeight="1">
      <x:c r="A29" s="42" t="str">
        <x:v>DEV-021</x:v>
      </x:c>
      <x:c r="B29" s="42" t="str">
        <x:v>LOCAL DEV</x:v>
      </x:c>
      <x:c r="C29" s="42" t="str">
        <x:v>P1 - Required</x:v>
      </x:c>
      <x:c r="D29" s="42" t="str">
        <x:v>ORBIT • XP formula controls</x:v>
      </x:c>
      <x:c r="E29" s="48" t="str">
        <x:v>Pass</x:v>
      </x:c>
      <x:c r="F29" s="48" t="str">
        <x:v>PREVIOUS RESULT: Blocked. HUMAN / ENVIRONMENT FOLLOW-UP REQUIRED: XP/economy controls were visible; formula/range behavior not tested. Remaining acceptance criteria were not established in this browser session; complete on the specified supported device/profile or with the missing deterministic setup, then update from direct evidence.
NEW RESULT: PASS; COMPLETED.
REASON: Base requirement100→200 updated level1 requirement; growth2 with level2 produced400. QuestsPerLevel10 generated new40XP quest (400/10), while existing slot1 remained2/35 and20XP. Formula changes did not reset old progress/rewards.
SCOPE: LOCAL DEV 5191
V3: Pass; retained V2 evidence, not rerun. 
Session: V2-DEV; scope: LOCAL DEV 5191. See QA_FINALIZATION_V3_JOURNAL.json#DEV-021 and HANDOFF_AND_FIX_QUEUE.md.
Retained prior verified evidence — not rerun in Final AI pass.</x:v>
      </x:c>
      <x:c r="G29" s="42" t="str">
        <x:v>LOCAL DEV; disposable profile; disable ads except specific integration tests.</x:v>
      </x:c>
      <x:c r="H29" s="42" t="str">
        <x:v>Change base requirement, growth and quests-per-level one at a time; generate new quest.</x:v>
      </x:c>
      <x:c r="I29" s="42" t="str">
        <x:v>Formula/UI remain coherent; newly generated rewards use intended config; existing quest progress not reset.</x:v>
      </x:c>
      <x:c r="J29" s="48" t="str">
        <x:v>C:/Users/mlgjm/OneDrive/Desktop/GameWebsite/outputs/qa-recovery-v2/QA_Evidence/orbit-xp-formula-base200.txt; C:/Users/mlgjm/OneDrive/Desktop/GameWebsite/outputs/qa-recovery-v2/QA_Evidence/orbit-xp-formula-growth2.txt; C:/Users/mlgjm/OneDrive/Desktop/GameWebsite/outputs/qa-recovery-v2/QA_Evidence/orbit-formula-new-versus-existing-quest.txt; historical: C:/Users/mlgjm/OneDrive/Desktop/GameWebsite/outputs/qa-20261006/QA_Evidence/notes/browser-observations.md; V3 journal: C:/Users/mlgjm/OneDrive/Desktop/GameWebsite/outputs/qa-finalization-v3/QA_FINALIZATION_V3_JOURNAL.json#DEV-021</x:v>
      </x:c>
      <x:c r="K29" s="48"/>
      <x:c r="L29" s="48" t="str">
        <x:v>V2-DEV</x:v>
      </x:c>
      <x:c r="M29" s="48" t="str">
        <x:v>Codex QA</x:v>
      </x:c>
      <x:c r="N29" s="58" t="n">
        <x:v>46301</x:v>
      </x:c>
      <x:c r="O29" s="54" t="str"/>
    </x:row>
    <x:row r="30" ht="76" customHeight="1">
      <x:c r="A30" s="44" t="str">
        <x:v>DEV-022</x:v>
      </x:c>
      <x:c r="B30" s="44" t="str">
        <x:v>LOCAL DEV</x:v>
      </x:c>
      <x:c r="C30" s="44" t="str">
        <x:v>P1 - Required</x:v>
      </x:c>
      <x:c r="D30" s="44" t="str">
        <x:v>ORBIT • Stars controls</x:v>
      </x:c>
      <x:c r="E30" s="48" t="str">
        <x:v>Pass</x:v>
      </x:c>
      <x:c r="F30" s="48" t="str">
        <x:v>PREVIOUS RESULT: Blocked. HUMAN / ENVIRONMENT FOLLOW-UP REQUIRED: Stars controls were visible; no persistent Stars change was made. Remaining acceptance criteria were not established in this browser session; complete on the specified supported device/profile or with the missing deterministic setup, then update from direct evidence.
NEW RESULT: PASS; COMPLETED.
REASON: SetStars0 and Remove100 stayed0; actual applied cap100 independently verified, Set95+Grant100 clamped100. Reload preserved100; restored original QA wallet10. Initial sequential numeric entry applied10000 rather than100, so that first attempt is excluded from cap proof.
SCOPE: LOCAL DEV 5191
V3: Pass; retained V2 evidence, not rerun. 
Session: V2-DEV; scope: LOCAL DEV 5191. See QA_FINALIZATION_V3_JOURNAL.json#DEV-022 and HANDOFF_AND_FIX_QUEUE.md.
Retained prior verified evidence — not rerun in Final AI pass.</x:v>
      </x:c>
      <x:c r="G30" s="44" t="str">
        <x:v>LOCAL DEV; disposable profile; disable ads except specific integration tests.</x:v>
      </x:c>
      <x:c r="H30" s="44" t="str">
        <x:v>Set/grant/remove Stars; test zero and bounded maximum.</x:v>
      </x:c>
      <x:c r="I30" s="44" t="str">
        <x:v>No negative wallet; explicit persistent grants; no hidden impact on gameplay.</x:v>
      </x:c>
      <x:c r="J30" s="48" t="str">
        <x:v>C:/Users/mlgjm/OneDrive/Desktop/GameWebsite/outputs/qa-recovery-v2/QA_Evidence/orbit-stars-zero-boundary.txt; C:/Users/mlgjm/OneDrive/Desktop/GameWebsite/outputs/qa-recovery-v2/QA_Evidence/orbit-stars-verified-cap100.txt; C:/Users/mlgjm/OneDrive/Desktop/GameWebsite/outputs/qa-recovery-v2/QA_Evidence/orbit-xp-wallet-persistence.txt; C:/Users/mlgjm/OneDrive/Desktop/GameWebsite/outputs/qa-recovery-v2/QA_Evidence/orbit-profile-values-restored.txt; historical: C:/Users/mlgjm/OneDrive/Desktop/GameWebsite/outputs/qa-20261006/QA_Evidence/notes/browser-observations.md; V3 journal: C:/Users/mlgjm/OneDrive/Desktop/GameWebsite/outputs/qa-finalization-v3/QA_FINALIZATION_V3_JOURNAL.json#DEV-022</x:v>
      </x:c>
      <x:c r="K30" s="48"/>
      <x:c r="L30" s="48" t="str">
        <x:v>V2-DEV</x:v>
      </x:c>
      <x:c r="M30" s="48" t="str">
        <x:v>Codex QA</x:v>
      </x:c>
      <x:c r="N30" s="58" t="n">
        <x:v>46301</x:v>
      </x:c>
      <x:c r="O30" s="55" t="str"/>
    </x:row>
    <x:row r="31" ht="76" customHeight="1">
      <x:c r="A31" s="42" t="str">
        <x:v>DEV-023</x:v>
      </x:c>
      <x:c r="B31" s="42" t="str">
        <x:v>LOCAL DEV</x:v>
      </x:c>
      <x:c r="C31" s="42" t="str">
        <x:v>P1 - Required</x:v>
      </x:c>
      <x:c r="D31" s="42" t="str">
        <x:v>ORBIT • Economy curve controls</x:v>
      </x:c>
      <x:c r="E31" s="48" t="str">
        <x:v>Pass</x:v>
      </x:c>
      <x:c r="F31" s="48" t="str">
        <x:v>PREVIOUS RESULT: Pass. Changed XP base requirement, XP growth and quests-per-level values by one step and restored each baseline. A completed quest claim yielded the displayed +20 XP and +10 Stars.
NEW RESULT: PASS; COMPLETED.
REASON: At level2 BaseStars20+StarsPerLevel7 generated27-Star new quest; earlier slots retained fixed10/15-Star rewards and progress. Seeded completion only as prerequisite, then real CLAIM gave40XP and clamped wallet95→100 at actualcap100, generated replacement quest.
SCOPE: LOCAL DEV 5191
V3: Pass; retained V2 evidence, not rerun. 
Session: V2-DEV; scope: LOCAL DEV 5191. See QA_FINALIZATION_V3_JOURNAL.json#DEV-023 and HANDOFF_AND_FIX_QUEUE.md.
Retained prior verified evidence — not rerun in Final AI pass.</x:v>
      </x:c>
      <x:c r="G31" s="42" t="str">
        <x:v>LOCAL DEV; disposable profile; disable ads except specific integration tests.</x:v>
      </x:c>
      <x:c r="H31" s="42" t="str">
        <x:v>Change base Stars, Stars per level and cap; generate/claim quest in test profile.</x:v>
      </x:c>
      <x:c r="I31" s="42" t="str">
        <x:v>Reward and wallet behavior follows config; existing fixed quest reward semantics recorded.</x:v>
      </x:c>
      <x:c r="J31" s="48" t="str">
        <x:v>C:/Users/mlgjm/OneDrive/Desktop/GameWebsite/outputs/qa-recovery-v2/QA_Evidence/orbit-economy-new-quest-reward.txt; C:/Users/mlgjm/OneDrive/Desktop/GameWebsite/outputs/qa-recovery-v2/QA_Evidence/orbit-economy-real-claim-cap.txt; C:/Users/mlgjm/OneDrive/Desktop/GameWebsite/outputs/qa-recovery-v2/QA_Evidence/orbit-formula-new-versus-existing-quest.txt; historical: C:/Users/mlgjm/OneDrive/Desktop/GameWebsite/outputs/qa-20261006/QA_Evidence/notes/browser-observations.md; V3 journal: C:/Users/mlgjm/OneDrive/Desktop/GameWebsite/outputs/qa-finalization-v3/QA_FINALIZATION_V3_JOURNAL.json#DEV-023</x:v>
      </x:c>
      <x:c r="K31" s="48"/>
      <x:c r="L31" s="48" t="str">
        <x:v>V2-DEV</x:v>
      </x:c>
      <x:c r="M31" s="48" t="str">
        <x:v>Codex QA</x:v>
      </x:c>
      <x:c r="N31" s="58" t="n">
        <x:v>46301</x:v>
      </x:c>
      <x:c r="O31" s="54" t="str"/>
    </x:row>
    <x:row r="32" ht="76" customHeight="1">
      <x:c r="A32" s="44" t="str">
        <x:v>DEV-024</x:v>
      </x:c>
      <x:c r="B32" s="44" t="str">
        <x:v>LOCAL DEV</x:v>
      </x:c>
      <x:c r="C32" s="44" t="str">
        <x:v>P1 - Required</x:v>
      </x:c>
      <x:c r="D32" s="44" t="str">
        <x:v>ORBIT • Cosmetic preview / unlock-all</x:v>
      </x:c>
      <x:c r="E32" s="48" t="str">
        <x:v>Pass</x:v>
      </x:c>
      <x:c r="F32" s="48" t="str">
        <x:v>PREVIOUS RESULT: Pass. Enabled session-only cosmetic unlocks, previewed Water player, observed its equipped preview state, then cleared previews, locked/reset session cosmetics and disabled unlock-all. No persistent cosmetics were purchased.
NEW RESULT: PARTIAL; RUNNABLE.
REASON: Executed Water/Nature/Fire/Light/Chaos previews for all four categories; visible player/orbit/planet rendering changed in five screenshots. UnlockAll, EquipChaos, ClearPreview and LockReset executed; reload PLAYER locker default equipped and all five themes locked, wallet10. Projectile rendering during shots and other-category equip persistence not independently inspected.
SCOPE: LOCAL DEV 5191
V3: Blocked [ENVIRONMENT_SETUP]. Proven already: Executed Water/Nature/Fire/Light/Chaos previews for all four categories; visible player/orbit/planet rendering changed in five screenshots. UnlockAll, EquipChaos, ClearPreview and LockReset executed; reload PLAYER locker default equipped and all five themes locked, wallet10. Projectile rendering during shots and other-category equip persistence not independently inspected.
Remaining: Projectile themes during actual shots and other-category equip persistence after session cheat reload.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Projectile themes during actual shots and other-category equip persistence after session cheat reload.
Session: V2-DEV; scope: LOCAL DEV 5191. See QA_FINALIZATION_V3_JOURNAL.json#DEV-024 and HANDOFF_AND_FIX_QUEUE.md.
FINAL AI 4B.2 (2026-10-07): Pass. Actual20 session previews across Water/Nature/Fire/Light/Chaos×fourcategories. Clear/Lockreset tested. Separate stronger trial: UnlockAllON+EquipChaos in eachcategory then reload WITHOUT clear/reset. Locker allfourcategories DEFAULT EQUIPPED/alternatives LOCKED, 0starsLv1 and UnlockAllOFF. No permanent ownership/equipment leak.
Session/evidence: S18; QA_Evidence/observations.json.</x:v>
      </x:c>
      <x:c r="G32" s="44" t="str">
        <x:v>LOCAL DEV; disposable profile; disable ads except specific integration tests.</x:v>
      </x:c>
      <x:c r="H32" s="44" t="str">
        <x:v>Preview Water/Nature/Fire/Light/Chaos per category; toggle session unlock-all; clear/reset previews; reload.</x:v>
      </x:c>
      <x:c r="I32" s="44" t="str">
        <x:v>Session preview/cheat does not permanently unlock unaffordable/locked equipment.</x:v>
      </x:c>
      <x:c r="J32" s="48" t="str">
        <x:v>C:/Users/mlgjm/OneDrive/Desktop/GameWebsite/outputs/qa-recovery-v2/QA_Evidence/orbit-cosmetic-preview-actions.json; C:/Users/mlgjm/OneDrive/Desktop/GameWebsite/outputs/qa-recovery-v2/QA_Evidence/orbit-water-preview.png; C:/Users/mlgjm/OneDrive/Desktop/GameWebsite/outputs/qa-recovery-v2/QA_Evidence/orbit-nature-preview.png; C:/Users/mlgjm/OneDrive/Desktop/GameWebsite/outputs/qa-recovery-v2/QA_Evidence/orbit-fire-preview.png; C:/Users/mlgjm/OneDrive/Desktop/GameWebsite/outputs/qa-recovery-v2/QA_Evidence/orbit-light-preview.png; C:/Users/mlgjm/OneDrive/Desktop/GameWebsite/outputs/qa-recovery-v2/QA_Evidence/orbit-chaos-preview.png; C:/Users/mlgjm/OneDrive/Desktop/GameWebsite/outputs/qa-recovery-v2/QA_Evidence/orbit-locker-after-session-preview-reload.txt; historical: C:/Users/mlgjm/OneDrive/Desktop/GameWebsite/outputs/qa-20261006/QA_Evidence/notes/browser-observations.md; V3 journal: C:/Users/mlgjm/OneDrive/Desktop/GameWebsite/outputs/qa-finalization-v3/QA_FINALIZATION_V3_JOURNAL.json#DEV-024; FINAL AI: C:/Users/mlgjm/OneDrive/Desktop/GameWebsite/outputs/qa-final-ai/2026-10-07_000739/QA_Evidence/observations.json</x:v>
      </x:c>
      <x:c r="K32" s="48"/>
      <x:c r="L32" s="48" t="str">
        <x:v>S18</x:v>
      </x:c>
      <x:c r="M32" s="48" t="str">
        <x:v>Codex Final AI QA</x:v>
      </x:c>
      <x:c r="N32" s="58" t="n">
        <x:v>46301.8803125</x:v>
      </x:c>
      <x:c r="O32" s="55" t="str"/>
    </x:row>
    <x:row r="33" ht="76" customHeight="1">
      <x:c r="A33" s="42" t="str">
        <x:v>DEV-025</x:v>
      </x:c>
      <x:c r="B33" s="42" t="str">
        <x:v>LOCAL DEV</x:v>
      </x:c>
      <x:c r="C33" s="42" t="str">
        <x:v>P1 - Required</x:v>
      </x:c>
      <x:c r="D33" s="42" t="str">
        <x:v>ORBIT • Cosmetic prices / level gates</x:v>
      </x:c>
      <x:c r="E33" s="48" t="str">
        <x:v>Pass</x:v>
      </x:c>
      <x:c r="F33" s="48" t="str">
        <x:v>PREVIOUS RESULT: Pass. Adjusted Water price 50→1 and Light level gate 5→1; zero Stars kept Water locked while current Level 1 made Light equipable. Restored price and gate, then verified default locks.
NEW RESULT: PASS; COMPLETED.
REASON: All four Locker categories showed Water5/Nature7/Fire9 with wallet10 UNLOCK eligibility; Light/Chaos gates1 exposed EQUIP. Reload restored defaults50/300/900/level5/mystery and retained existing default equipment/wallet10. No purchase was needed for the tuning assertion.
SCOPE: LOCAL DEV 5191
V3: Pass; retained V2 evidence, not rerun. 
Session: V2-DEV; scope: LOCAL DEV 5191. See QA_FINALIZATION_V3_JOURNAL.json#DEV-025 and HANDOFF_AND_FIX_QUEUE.md.
Retained prior verified evidence — not rerun in Final AI pass.</x:v>
      </x:c>
      <x:c r="G33" s="42" t="str">
        <x:v>LOCAL DEV; disposable profile; disable ads except specific integration tests.</x:v>
      </x:c>
      <x:c r="H33" s="42" t="str">
        <x:v>Adjust Water/Nature/Fire prices and Light/Chaos levels; inspect Locker.</x:v>
      </x:c>
      <x:c r="I33" s="42" t="str">
        <x:v>Display/availability follows test config; defaults restored; legitimate unlock/equipment persistence preserved.</x:v>
      </x:c>
      <x:c r="J33" s="48" t="str">
        <x:v>C:/Users/mlgjm/OneDrive/Desktop/GameWebsite/outputs/qa-recovery-v2/QA_Evidence/orbit-locker-tuned-prices-gates.txt; C:/Users/mlgjm/OneDrive/Desktop/GameWebsite/outputs/qa-recovery-v2/QA_Evidence/orbit-tuned-locker-all-categories.json; C:/Users/mlgjm/OneDrive/Desktop/GameWebsite/outputs/qa-recovery-v2/QA_Evidence/orbit-locker-defaults-after-tuning.txt; historical: C:/Users/mlgjm/OneDrive/Desktop/GameWebsite/outputs/qa-20261006/QA_Evidence/notes/browser-observations.md; V3 journal: C:/Users/mlgjm/OneDrive/Desktop/GameWebsite/outputs/qa-finalization-v3/QA_FINALIZATION_V3_JOURNAL.json#DEV-025</x:v>
      </x:c>
      <x:c r="K33" s="48"/>
      <x:c r="L33" s="48" t="str">
        <x:v>V2-DEV</x:v>
      </x:c>
      <x:c r="M33" s="48" t="str">
        <x:v>Codex QA</x:v>
      </x:c>
      <x:c r="N33" s="58" t="n">
        <x:v>46301</x:v>
      </x:c>
      <x:c r="O33" s="54" t="str"/>
    </x:row>
    <x:row r="34" ht="76" customHeight="1">
      <x:c r="A34" s="44" t="str">
        <x:v>DEV-026</x:v>
      </x:c>
      <x:c r="B34" s="44" t="str">
        <x:v>LOCAL DEV</x:v>
      </x:c>
      <x:c r="C34" s="44" t="str">
        <x:v>P1 - Required</x:v>
      </x:c>
      <x:c r="D34" s="44" t="str">
        <x:v>ORBIT • Visual/game-feel parameters</x:v>
      </x:c>
      <x:c r="E34" s="48" t="str">
        <x:v>Pass</x:v>
      </x:c>
      <x:c r="F34" s="48" t="str">
        <x:v>PREVIOUS RESULT: Pass. Changed angular speed, orbit radius ratio, player radius and score rate by legal steps and restored 2.2, 0.28, 8 and 10.
NEW RESULT: NOT_EXECUTED; RUNNABLE.
REASON: Existing evidence needs a targeted comparison against all expected assertions; no V2 browser execution yet.
SCOPE: Historical evidence only; V2 not executed
V3: Blocked [ENVIRONMENT_SETUP]. Proven already: V2 player-radius20 screenshot proves visible size change; radius ratio0.4 was height-bound in embedded geometry and expanded in fullscreen. Angular-speed and score-rate effects remain unverified.
Remaining: Individually observed angular-speed and score-rate changes; radius20 and height-bound radius ratio screenshots already exist.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Individually observed angular-speed and score-rate changes; radius20 and height-bound radius ratio screenshots already exist.
Session: S04; scope: Historical evidence only; V2 not executed. See QA_FINALIZATION_V3_JOURNAL.json#DEV-026 and HANDOFF_AND_FIX_QUEUE.md.
FINAL AI 4B.2 (2026-10-07): BLOCKED — HUMAN TESTING REQUIRED [HUMAN_JUDGMENT].
Why AI did not finish: Human visual/game-feel/device-performance judgment or first-paint video is required.
AI already proved: No complete independent evidence for the remaining assertions; historical observations remain in the workbook.
Remaining: Individually observed angular-speed and score-rate changes; radius20 and height-bound radius ratio screenshots already exist.
Human action (HQA-06): 1. Use LOCAL DEV; Human player on desktop and physical phone; record difficulty, viewport and device. 2. LOCAL DEV; disposable profile; disable ads except specific integration tests. 3. Execute only the remaining assertion: Individually observed angular-speed and score-rate changes; radius20 and height-bound radius ratio screenshots already exist.
Expected: Effect can be observed; radius layout may require resize. Record no-effect or delayed-update behavior explicitly.
Capture: Pass/Fail per ID, screenshot or timestamped video/state snapshot, device/OS/browser versions, viewport/zoom/DPR and a note; compare prior evidence instead of repeating proven subassertions.
Session/evidence: S18; Historical evidence retained; no fresh case execution claimed. Full grouped instructions: HUMAN_QA_FINAL.md#hqa-06.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34" s="44" t="str">
        <x:v>LOCAL DEV; disposable profile; disable ads except specific integration tests.</x:v>
      </x:c>
      <x:c r="H34" s="44" t="str">
        <x:v>Change angular speed, orbit-radius ratio, player radius and score rate individually.</x:v>
      </x:c>
      <x:c r="I34" s="44" t="str">
        <x:v>Effect can be observed; radius layout may require resize. Record no-effect or delayed-update behavior explicitly.</x:v>
      </x:c>
      <x:c r="J34" s="48" t="str">
        <x:v>C:/Users/mlgjm/OneDrive/Desktop/GameWebsite/outputs/qa-20261006/QA_Evidence/notes/browser-observations.md; V2 reviewed: C:/Users/mlgjm/OneDrive/Desktop/GameWebsite/outputs/qa-recovery-v2/QA_Evidence/orbit-player-radius20.png; C:/Users/mlgjm/OneDrive/Desktop/GameWebsite/outputs/qa-recovery-v2/QA_Evidence/orbit-radius-ratio40-fullscreen.png; C:/Users/mlgjm/OneDrive/Desktop/GameWebsite/outputs/qa-recovery-v2/QA_Evidence/orbit-radius-ratio40-embed.png; V3 journal: C:/Users/mlgjm/OneDrive/Desktop/GameWebsite/outputs/qa-finalization-v3/QA_FINALIZATION_V3_JOURNAL.json#DEV-026
Human QA completion statement, 2026-10-07; prior AI evidence retained.</x:v>
      </x:c>
      <x:c r="K34" s="48"/>
      <x:c r="L34" s="48" t="str">
        <x:v>S20</x:v>
      </x:c>
      <x:c r="M34" s="48" t="str">
        <x:v>Hristo</x:v>
      </x:c>
      <x:c r="N34" s="58" t="n">
        <x:v>46302</x:v>
      </x:c>
      <x:c r="O34" s="55" t="str"/>
    </x:row>
    <x:row r="35" ht="76" customHeight="1">
      <x:c r="A35" s="42" t="str">
        <x:v>DEV-027</x:v>
      </x:c>
      <x:c r="B35" s="42" t="str">
        <x:v>LOCAL DEV</x:v>
      </x:c>
      <x:c r="C35" s="42" t="str">
        <x:v>P1 - Required</x:v>
      </x:c>
      <x:c r="D35" s="42" t="str">
        <x:v>ORBIT • Audio controls</x:v>
      </x:c>
      <x:c r="E35" s="48" t="str">
        <x:v>N/A</x:v>
      </x:c>
      <x:c r="F35" s="48" t="str">
        <x:v>PREVIOUS RESULT: Blocked. HUMAN TEST REQUIRED: verify audible effects and volume changes with audio output.
NEW RESULT: NOT_EXECUTED; HUMAN_JUDGMENT_REQUIRED.
REASON: BPM/music/SFX audible comparison requires an audio listener.
SCOPE: Historical evidence only; V2 not executed
V3: Blocked [HUMAN_JUDGMENT]. Proven already: BPM/music/SFX audible comparison requires an audio listener.
Remaining: Required assertions not yet fully verified: Correct channels/tempo respond; no extra audio contexts or ignored mute. Procedure: Change BPM, music and SFX volume; test audible change then reset.
Specific reason: BPM/music/SFX audible comparison requires an audio listener.
Attempted this run: no. Owner: Human tester. Next step: Human tester executes in the case environment: Required assertions not yet fully verified: Correct channels/tempo respond; no extra audio contexts or ignored mute. Procedure: Change BPM, music and SFX volume; test audible change then reset.
Session: S02; scope: Historical evidence only; V2 not executed. See QA_FINALIZATION_V3_JOURNAL.json#DEV-027 and HANDOFF_AND_FIX_QUEUE.md.
FINAL AI 4B.2 (2026-10-07): BLOCKED — HUMAN TESTING REQUIRED [HUMAN_JUDGMENT].
Why AI did not finish: Audible quality, balance, duplication and restoration require human hearing; observable UI/state evidence is retained.
AI already proved: No complete independent evidence for the remaining assertions; historical observations remain in the workbook.
Remaining: Correct channels/tempo respond; no extra audio contexts or ignored mute. Procedure: Change BPM, music and SFX volume; test audible change then reset.
Human action (HQA-05): 1. Use LOCAL DEV; Headphones/speakers, native Chrome/Edge and at least one physical mobile browser. 2. LOCAL DEV; disposable profile; disable ads except specific integration tests. 3. Execute only the remaining assertion: Correct channels/tempo respond; no extra audio contexts or ignored mute. Procedure: Change BPM, music and SFX volume; test audible change then reset.
Expected: Correct channels/tempo respond; no extra audio contexts or ignored mute.
Capture: Pass/Fail per ID, screenshot or timestamped video/state snapshot, device/OS/browser versions, viewport/zoom/DPR and a note; compare prior evidence instead of repeating proven subassertions.
Session/evidence: S18; Historical evidence retained; no fresh case execution claimed. Full grouped instructions: HUMAN_QA_FINAL.md#hqa-05. Historical Bug IDs are retained links, not current confirmed dependencies unless explicitly stated.
FINAL HUMAN QA (2026-10-07): N/A — audible acceptance is intentionally deferred because the current games do not yet have the final audio implementation to certify. Hristo explicitly approved audio-owned cases as N/A, with a separate dedicated Audio QA pass required later.</x:v>
      </x:c>
      <x:c r="G35" s="42" t="str">
        <x:v>LOCAL DEV; disposable profile; disable ads except specific integration tests.</x:v>
      </x:c>
      <x:c r="H35" s="42" t="str">
        <x:v>Change BPM, music and SFX volume; test audible change then reset.</x:v>
      </x:c>
      <x:c r="I35" s="42" t="str">
        <x:v>Correct channels/tempo respond; no extra audio contexts or ignored mute.</x:v>
      </x:c>
      <x:c r="J35" s="48" t="str">
        <x:v>C:/Users/mlgjm/OneDrive/Desktop/GameWebsite/outputs/qa-20261006/QA_Evidence/notes/browser-observations.md; V3 journal: C:/Users/mlgjm/OneDrive/Desktop/GameWebsite/outputs/qa-finalization-v3/QA_FINALIZATION_V3_JOURNAL.json#DEV-027
Owner-approved Human QA N/A decision, 2026-10-07; prior AI evidence retained.</x:v>
      </x:c>
      <x:c r="K35" s="48"/>
      <x:c r="L35" s="48" t="str">
        <x:v>S20</x:v>
      </x:c>
      <x:c r="M35" s="48" t="str">
        <x:v>Hristo</x:v>
      </x:c>
      <x:c r="N35" s="58" t="n">
        <x:v>46302</x:v>
      </x:c>
      <x:c r="O35" s="54" t="str"/>
    </x:row>
    <x:row r="36" ht="76" customHeight="1">
      <x:c r="A36" s="44" t="str">
        <x:v>DEV-028</x:v>
      </x:c>
      <x:c r="B36" s="44" t="str">
        <x:v>LOCAL DEV</x:v>
      </x:c>
      <x:c r="C36" s="44" t="str">
        <x:v>P1 - Required</x:v>
      </x:c>
      <x:c r="D36" s="44" t="str">
        <x:v>ORBIT • QA duplicate actions</x:v>
      </x:c>
      <x:c r="E36" s="48" t="str">
        <x:v>Pass</x:v>
      </x:c>
      <x:c r="F36" s="48" t="str">
        <x:v>PREVIOUS RESULT: Pass. A rapid double-click on QA Force Death produced one revive offer; offer expiry produced a single completed run result, and Scores listed that run score once.
NEW RESULT: PASS; COMPLETED.
REASON: QA Test bombardment invoked real projectile diagnostics, with total spawned14 and ongoing run. QA Force death incremented collision count1→2 and exposed actual SIGNAL LOST revive decision. Profile storage readout available; persistence independently reload-verified.
SCOPE: LOCAL DEV 5191
V3: Pass; retained V2 evidence, not rerun. 
Session: V2-DEV; scope: LOCAL DEV 5191. See QA_FINALIZATION_V3_JOURNAL.json#DEV-028 and HANDOFF_AND_FIX_QUEUE.md.
Retained prior verified evidence — not rerun in Final AI pass.</x:v>
      </x:c>
      <x:c r="G36" s="44" t="str">
        <x:v>LOCAL DEV; disposable profile; disable ads except specific integration tests.</x:v>
      </x:c>
      <x:c r="H36" s="44" t="str">
        <x:v>Use QA Force death and Test bombardment; inspect collision/storage readouts.</x:v>
      </x:c>
      <x:c r="I36" s="44" t="str">
        <x:v>Same safe gameplay paths, no independent broken state or fake persistence success.</x:v>
      </x:c>
      <x:c r="J36" s="48" t="str">
        <x:v>C:/Users/mlgjm/OneDrive/Desktop/GameWebsite/outputs/qa-recovery-v2/QA_Evidence/orbit-manual-bombardment-diagnostics.txt; C:/Users/mlgjm/OneDrive/Desktop/GameWebsite/outputs/qa-recovery-v2/QA_Evidence/orbit-infinite-collision-playing.txt; C:/Users/mlgjm/OneDrive/Desktop/GameWebsite/outputs/qa-recovery-v2/QA_Evidence/orbit-qa-force-death.txt; C:/Users/mlgjm/OneDrive/Desktop/GameWebsite/outputs/qa-recovery-v2/QA_Evidence/orbit-reload-session-profile.txt; historical: C:/Users/mlgjm/OneDrive/Desktop/GameWebsite/outputs/qa-20261006/QA_Evidence/notes/browser-observations.md; V3 journal: C:/Users/mlgjm/OneDrive/Desktop/GameWebsite/outputs/qa-finalization-v3/QA_FINALIZATION_V3_JOURNAL.json#DEV-028</x:v>
      </x:c>
      <x:c r="K36" s="48"/>
      <x:c r="L36" s="48" t="str">
        <x:v>V2-DEV</x:v>
      </x:c>
      <x:c r="M36" s="48" t="str">
        <x:v>Codex QA</x:v>
      </x:c>
      <x:c r="N36" s="58" t="n">
        <x:v>46301</x:v>
      </x:c>
      <x:c r="O36" s="55" t="str"/>
    </x:row>
    <x:row r="37" ht="76" customHeight="1">
      <x:c r="A37" s="42" t="str">
        <x:v>DEV-029</x:v>
      </x:c>
      <x:c r="B37" s="42" t="str">
        <x:v>LOCAL DEV</x:v>
      </x:c>
      <x:c r="C37" s="42" t="str">
        <x:v>P1 - Required</x:v>
      </x:c>
      <x:c r="D37" s="42" t="str">
        <x:v>ORBIT • Delta log and named snapshots</x:v>
      </x:c>
      <x:c r="E37" s="48" t="str">
        <x:v>Pass</x:v>
      </x:c>
      <x:c r="F37" s="48" t="str">
        <x:v>PREVIOUS RESULT: Pass. Saved a named Session Log test with notes; the saved-test count rose to 1 and the named snapshot appeared in the list. CLEAR SESSION removed it.
NEW RESULT: PASS; COMPLETED.
REASON: Opened actual ALL JSON/CSV downloads: snapshots A and B contain two and one deltas respectively; restoring score rate removes it from B. JSON context and CSV rows/columns agree, including comma/quote/newline notes.
SCOPE: LOCAL DEV 5191
V3: Pass; retained V2 evidence, not rerun. 
Session: V2-DEV; scope: LOCAL DEV 5191. See QA_FINALIZATION_V3_JOURNAL.json#DEV-029 and HANDOFF_AND_FIX_QUEUE.md.
Retained prior verified evidence — not rerun in Final AI pass.</x:v>
      </x:c>
      <x:c r="G37" s="42" t="str">
        <x:v>LOCAL DEV; disposable profile; disable ads except specific integration tests.</x:v>
      </x:c>
      <x:c r="H37" s="42" t="str">
        <x:v>Change two knobs only; save named A with notes; change one back and save B.</x:v>
      </x:c>
      <x:c r="I37" s="42" t="str">
        <x:v>Only deltas from baseline captured with useful context/name; restored default excluded.</x:v>
      </x:c>
      <x:c r="J37" s="48" t="str">
        <x:v>C:/Users/mlgjm/OneDrive/Desktop/GameWebsite/outputs/qa-recovery-v2/QA_Evidence/all-export-validation.json; C:/Users/mlgjm/OneDrive/Desktop/GameWebsite/outputs/qa-recovery-v2/QA_Evidence/orbit-all-export.json; C:/Users/mlgjm/OneDrive/Desktop/GameWebsite/outputs/qa-recovery-v2/QA_Evidence/orbit-all-export.csv; historical: C:/Users/mlgjm/OneDrive/Desktop/GameWebsite/outputs/qa-20261006/QA_Evidence/notes/browser-observations.md; V3 journal: C:/Users/mlgjm/OneDrive/Desktop/GameWebsite/outputs/qa-finalization-v3/QA_FINALIZATION_V3_JOURNAL.json#DEV-029</x:v>
      </x:c>
      <x:c r="K37" s="48"/>
      <x:c r="L37" s="48" t="str">
        <x:v>V2-DEV</x:v>
      </x:c>
      <x:c r="M37" s="48" t="str">
        <x:v>Codex QA</x:v>
      </x:c>
      <x:c r="N37" s="58" t="n">
        <x:v>46301</x:v>
      </x:c>
      <x:c r="O37" s="54" t="str"/>
    </x:row>
    <x:row r="38" ht="76" customHeight="1">
      <x:c r="A38" s="44" t="str">
        <x:v>DEV-030</x:v>
      </x:c>
      <x:c r="B38" s="44" t="str">
        <x:v>LOCAL DEV</x:v>
      </x:c>
      <x:c r="C38" s="44" t="str">
        <x:v>P1 - Required</x:v>
      </x:c>
      <x:c r="D38" s="44" t="str">
        <x:v>ORBIT • CSV / JSON contents</x:v>
      </x:c>
      <x:c r="E38" s="48" t="str">
        <x:v>Pass</x:v>
      </x:c>
      <x:c r="F38" s="48" t="str">
        <x:v>PREVIOUS RESULT: Blocked. Browser download instrumentation did not observe a file for EXPORT ALL JSON or CSV after saving a named test snapshot; export-file contents and validity need human/browser download verification.
NEW RESULT: PASS; COMPLETED.
REASON: Opened actual CURRENT JSON/CSV downloads: only current infinite-lives delta remains; restored default score rate omitted. Export uses explicit generic current name and empty notes. Both formats match and contain runtime context.
SCOPE: LOCAL DEV 5191
V3: Pass; retained V2 evidence, not rerun. 
Session: V2-DEV; scope: LOCAL DEV 5191. See QA_FINALIZATION_V3_JOURNAL.json#DEV-030 and HANDOFF_AND_FIX_QUEUE.md.
Retained prior verified evidence — not rerun in Final AI pass.</x:v>
      </x:c>
      <x:c r="G38" s="44" t="str">
        <x:v>LOCAL DEV; disposable profile; disable ads except specific integration tests.</x:v>
      </x:c>
      <x:c r="H38" s="44" t="str">
        <x:v>Export current/all snapshots; OPEN downloaded files and compare A/B.</x:v>
      </x:c>
      <x:c r="I38" s="44" t="str">
        <x:v>Names, values and runtime context accurate; valid JSON; CSV columns survive commas/quotes/newlines.</x:v>
      </x:c>
      <x:c r="J38" s="48" t="str">
        <x:v>C:/Users/mlgjm/OneDrive/Desktop/GameWebsite/outputs/qa-recovery-v2/QA_Evidence/all-export-validation.json; C:/Users/mlgjm/OneDrive/Desktop/GameWebsite/outputs/qa-recovery-v2/QA_Evidence/orbit-current-export.json; C:/Users/mlgjm/OneDrive/Desktop/GameWebsite/outputs/qa-recovery-v2/QA_Evidence/orbit-current-export.csv; historical: C:/Users/mlgjm/OneDrive/Desktop/GameWebsite/outputs/qa-20261006/QA_Evidence/notes/browser-observations.md; V3 journal: C:/Users/mlgjm/OneDrive/Desktop/GameWebsite/outputs/qa-finalization-v3/QA_FINALIZATION_V3_JOURNAL.json#DEV-030</x:v>
      </x:c>
      <x:c r="K38" s="48"/>
      <x:c r="L38" s="48" t="str">
        <x:v>V2-DEV</x:v>
      </x:c>
      <x:c r="M38" s="48" t="str">
        <x:v>Codex QA</x:v>
      </x:c>
      <x:c r="N38" s="58" t="n">
        <x:v>46301</x:v>
      </x:c>
      <x:c r="O38" s="55" t="str"/>
    </x:row>
    <x:row r="39" ht="76" customHeight="1">
      <x:c r="A39" s="42" t="str">
        <x:v>DEV-031</x:v>
      </x:c>
      <x:c r="B39" s="42" t="str">
        <x:v>LOCAL DEV</x:v>
      </x:c>
      <x:c r="C39" s="42" t="str">
        <x:v>P1 - Required</x:v>
      </x:c>
      <x:c r="D39" s="42" t="str">
        <x:v>ORBIT • Clear session / reload</x:v>
      </x:c>
      <x:c r="E39" s="48" t="str">
        <x:v>Pass</x:v>
      </x:c>
      <x:c r="F39" s="48" t="str">
        <x:v>PREVIOUS RESULT: Pass. CLEAR SESSION removed the saved in-memory test snapshot and changed-parameter entry; reload returned the game to menu and cleared runtime tuning/session state. Persistent XP, level and Stars were separately checked after reload.
NEW RESULT: PASS; COMPLETED.
REASON: CLEAR SESSION removed both snapshots and changed-parameter list; reload returned menu, unchecked infinite lives, zero runtime counters/logs. Persistent best 1270, level 1, XP20 and Stars10 remain.
SCOPE: LOCAL DEV 5191
V3: Pass; retained V2 evidence, not rerun. 
Session: V2-DEV; scope: LOCAL DEV 5191. See QA_FINALIZATION_V3_JOURNAL.json#DEV-031 and HANDOFF_AND_FIX_QUEUE.md.
Retained prior verified evidence — not rerun in Final AI pass.</x:v>
      </x:c>
      <x:c r="G39" s="42" t="str">
        <x:v>LOCAL DEV; disposable profile; disable ads except specific integration tests.</x:v>
      </x:c>
      <x:c r="H39" s="42" t="str">
        <x:v>Record actual scope of Clear Session; reload after exported test.</x:v>
      </x:c>
      <x:c r="I39" s="42" t="str">
        <x:v>RAM tuning/logs gone as documented; persistent profile remains; reset controls do not erase unrelated data.</x:v>
      </x:c>
      <x:c r="J39" s="48" t="str">
        <x:v>C:/Users/mlgjm/OneDrive/Desktop/GameWebsite/outputs/qa-recovery-v2/QA_Evidence/orbit-clear-session-scope.txt; C:/Users/mlgjm/OneDrive/Desktop/GameWebsite/outputs/qa-recovery-v2/QA_Evidence/orbit-clear-session-run-tuning.txt; C:/Users/mlgjm/OneDrive/Desktop/GameWebsite/outputs/qa-recovery-v2/QA_Evidence/orbit-reload-session-profile.txt; C:/Users/mlgjm/OneDrive/Desktop/GameWebsite/outputs/qa-recovery-v2/QA_Evidence/orbit-reload-run-defaults.txt; historical: C:/Users/mlgjm/OneDrive/Desktop/GameWebsite/outputs/qa-20261006/QA_Evidence/notes/browser-observations.md; V3 journal: C:/Users/mlgjm/OneDrive/Desktop/GameWebsite/outputs/qa-finalization-v3/QA_FINALIZATION_V3_JOURNAL.json#DEV-031</x:v>
      </x:c>
      <x:c r="K39" s="48"/>
      <x:c r="L39" s="48" t="str">
        <x:v>V2-DEV</x:v>
      </x:c>
      <x:c r="M39" s="48" t="str">
        <x:v>Codex QA</x:v>
      </x:c>
      <x:c r="N39" s="58" t="n">
        <x:v>46301</x:v>
      </x:c>
      <x:c r="O39" s="54" t="str"/>
    </x:row>
    <x:row r="40" ht="76" customHeight="1">
      <x:c r="A40" s="44" t="str">
        <x:v>DEV-032</x:v>
      </x:c>
      <x:c r="B40" s="44" t="str">
        <x:v>LOCAL DEV</x:v>
      </x:c>
      <x:c r="C40" s="44" t="str">
        <x:v>P1 - Required</x:v>
      </x:c>
      <x:c r="D40" s="44" t="str">
        <x:v>ORBIT • Editing while values refresh</x:v>
      </x:c>
      <x:c r="E40" s="48" t="str">
        <x:v>Pass</x:v>
      </x:c>
      <x:c r="F40" s="48" t="str">
        <x:v>PREVIOUS RESULT: Pass. During a live run, diagnostics advanced from score 14 through 138 to 220 while Score rate changed 10→11; the run ended during the observation. Restored Score rate 10.
NEW RESULT: NOT_EXECUTED; RUNNABLE.
REASON: Existing evidence needs a targeted comparison against all expected assertions; no V2 browser execution yet.
SCOPE: Historical evidence only; V2 not executed
V3: Blocked [ENVIRONMENT_SETUP]. Proven already: No complete direct evidence; earlier notes retained above.
Remaining: Required assertions not yet fully verified: Live redraw does not eat keystrokes/steal focus; help remains readable and dismissible. Procedure: Focus a numeric input and enter a value slowly; open help in Ads Integration.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Required assertions not yet fully verified: Live redraw does not eat keystrokes/steal focus; help remains readable and dismissible. Procedure: Focus a numeric input and enter a value slowly; open help in Ads Integration.
Session: S04; scope: Historical evidence only; V2 not executed. See QA_FINALIZATION_V3_JOURNAL.json#DEV-032 and HANDOFF_AND_FIX_QUEUE.md.
4B.1 retest record (2026-10-06): Orbit Ads Integration numeric control changed slowly from 8 to 9; after a one-second refresh interval and opening readable field help it remained 9. Escape dismissed help while leaving the parent DEV panel open. Restored 8.
Retained prior verified evidence — not rerun in Final AI pass. Approved prerequisite/setup was reused this run; the complete case was not rerun.</x:v>
      </x:c>
      <x:c r="G40" s="44" t="str">
        <x:v>LOCAL DEV; disposable profile; disable ads except specific integration tests.</x:v>
      </x:c>
      <x:c r="H40" s="44" t="str">
        <x:v>Focus a numeric input and enter a value slowly; open help in Ads Integration.</x:v>
      </x:c>
      <x:c r="I40" s="44" t="str">
        <x:v>Live redraw does not eat keystrokes/steal focus; help remains readable and dismissible.</x:v>
      </x:c>
      <x:c r="J40" s="48" t="str">
        <x:v>C:/Users/mlgjm/OneDrive/Desktop/GameWebsite/outputs/qa-20261006/QA_Evidence/notes/browser-observations.md; V3 journal: C:/Users/mlgjm/OneDrive/Desktop/GameWebsite/outputs/qa-finalization-v3/QA_FINALIZATION_V3_JOURNAL.json#DEV-032; orbit-dev-help-input-retained.png</x:v>
      </x:c>
      <x:c r="K40" s="48"/>
      <x:c r="L40" s="48" t="str">
        <x:v>S14</x:v>
      </x:c>
      <x:c r="M40" s="48" t="str">
        <x:v>Codex QA</x:v>
      </x:c>
      <x:c r="N40" s="58" t="n">
        <x:v>46301</x:v>
      </x:c>
      <x:c r="O40" s="55" t="str"/>
    </x:row>
    <x:row r="41" ht="76" customHeight="1">
      <x:c r="A41" s="42" t="str">
        <x:v>DEV-033</x:v>
      </x:c>
      <x:c r="B41" s="42" t="str">
        <x:v>LOCAL DEV</x:v>
      </x:c>
      <x:c r="C41" s="42" t="str">
        <x:v>P1 - Required</x:v>
      </x:c>
      <x:c r="D41" s="42" t="str">
        <x:v>ORBIT • Ads Integration helps/guardrails</x:v>
      </x:c>
      <x:c r="E41" s="48" t="str">
        <x:v>Pass</x:v>
      </x:c>
      <x:c r="F41" s="48" t="str">
        <x:v>PREVIOUS RESULT: Blocked. HUMAN / ENVIRONMENT FOLLOW-UP REQUIRED: Ads Integration category was visible and had previously shown bridge/provider capability; help edge cases remain incomplete. Remaining acceptance criteria were not established in this browser session; complete on the specified supported device/profile or with the missing deterministic setup, then update from direct evidence.
NEW RESULT: NOT_EXECUTED; RUNNABLE.
REASON: Existing evidence needs a targeted comparison against all expected assertions; no V2 browser execution yet.
SCOPE: Historical evidence only; V2 not executed
V3: Blocked [ENVIRONMENT_SETUP]. Proven already: No complete direct evidence; earlier notes retained above.
Remaining: Required assertions not yet fully verified: Correct units/defaults/scopes; host one-attempt cap cannot be raised through local UI. Procedure: Inspect help for runId, bridge/capabilities, result, offer/shield/delay and reset-used.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Required assertions not yet fully verified: Correct units/defaults/scopes; host one-attempt cap cannot be raised through local UI. Procedure: Inspect help for runId, bridge/capabilities, result, offer/shield/delay and reset-used.
Session: S04; scope: Historical evidence only; V2 not executed. See QA_FINALIZATION_V3_JOURNAL.json#DEV-033 and HANDOFF_AND_FIX_QUEUE.md.
FINAL AI 4B.2 (2026-10-07): Pass. Opened exact helps for runId/bridge/capabilities/result/offer/shield/delay/reset-used: seconds/defaults8,1.5,1 and session-only scopes explicit. Completed actual revive on run db2b6d6d; reset local-used only, ForceDeath then real second WATCH request blocked host run-cap. No second show/grant. Host cap read-only1.
Session/evidence: S18; QA_Evidence/observations.json.</x:v>
      </x:c>
      <x:c r="G41" s="42" t="str">
        <x:v>LOCAL DEV; disposable profile; disable ads except specific integration tests.</x:v>
      </x:c>
      <x:c r="H41" s="42" t="str">
        <x:v>Inspect help for runId, bridge/capabilities, result, offer/shield/delay and reset-used.</x:v>
      </x:c>
      <x:c r="I41" s="42" t="str">
        <x:v>Correct units/defaults/scopes; host one-attempt cap cannot be raised through local UI.</x:v>
      </x:c>
      <x:c r="J41" s="48" t="str">
        <x:v>C:/Users/mlgjm/OneDrive/Desktop/GameWebsite/outputs/qa-20261006/QA_Evidence/notes/browser-observations.md; V3 journal: C:/Users/mlgjm/OneDrive/Desktop/GameWebsite/outputs/qa-finalization-v3/QA_FINALIZATION_V3_JOURNAL.json#DEV-033; FINAL AI: C:/Users/mlgjm/OneDrive/Desktop/GameWebsite/outputs/qa-final-ai/2026-10-07_000739/QA_Evidence/observations.json</x:v>
      </x:c>
      <x:c r="K41" s="48"/>
      <x:c r="L41" s="48" t="str">
        <x:v>S18</x:v>
      </x:c>
      <x:c r="M41" s="48" t="str">
        <x:v>Codex Final AI QA</x:v>
      </x:c>
      <x:c r="N41" s="58" t="n">
        <x:v>46301.8803125</x:v>
      </x:c>
      <x:c r="O41" s="54" t="str"/>
    </x:row>
    <x:row r="42" ht="76" customHeight="1">
      <x:c r="A42" s="44" t="str">
        <x:v>DEV-034</x:v>
      </x:c>
      <x:c r="B42" s="44" t="str">
        <x:v>LOCAL DEV</x:v>
      </x:c>
      <x:c r="C42" s="44" t="str">
        <x:v>P1 - Required</x:v>
      </x:c>
      <x:c r="D42" s="44" t="str">
        <x:v>REACTOR • Panel layout and shortcut</x:v>
      </x:c>
      <x:c r="E42" s="48" t="str">
        <x:v>Pass</x:v>
      </x:c>
      <x:c r="F42" s="48" t="str">
        <x:v>PREVIOUS RESULT: Fail. On the active local DEV Reactor board, Ctrl+Shift+D was sent with the iframe focused. The ordinary board remained and no game DEV panel appeared. Repeated after closing the website Ad Dev panel.
NEW RESULT: PASS; COMPLETED.
REASON: FocusedReactorCtrlShiftDopensallruntime/configsectionsinsideiframe344×459;documentclient/scrolldimensions344×459nooverflow. HostCtrlShiftAopensseparateAdDEVwithoutclosinggamepanel; localclosecontrolsworkindependently.
SCOPE: LOCAL DEV 5191
V3: Pass; retained V2 evidence, not rerun. 
Session: V2-DEV; scope: LOCAL DEV 5191. See QA_FINALIZATION_V3_JOURNAL.json#DEV-034 and HANDOFF_AND_FIX_QUEUE.md.
Retained prior verified evidence — not rerun in Final AI pass.</x:v>
      </x:c>
      <x:c r="G42" s="44" t="str">
        <x:v>LOCAL DEV; disposable Reactor state; record labels of any failing control.</x:v>
      </x:c>
      <x:c r="H42" s="44" t="str">
        <x:v>Focus Reactor; Ctrl+Shift+D; open sections and close with local control.</x:v>
      </x:c>
      <x:c r="I42" s="44" t="str">
        <x:v>Panel inside game; no iframe document overflow; no collision with website Ctrl+Shift+A.</x:v>
      </x:c>
      <x:c r="J42" s="48" t="str">
        <x:v>C:/Users/mlgjm/OneDrive/Desktop/GameWebsite/outputs/qa-recovery-v2/QA_Evidence/reactor-panel-geometry.json; C:/Users/mlgjm/OneDrive/Desktop/GameWebsite/outputs/qa-recovery-v2/QA_Evidence/reactor-panel-host-separation.txt; historical: C:/Users/mlgjm/OneDrive/Desktop/GameWebsite/outputs/qa-20261006/QA_Evidence/notes/browser-observations.md; V3 journal: C:/Users/mlgjm/OneDrive/Desktop/GameWebsite/outputs/qa-finalization-v3/QA_FINALIZATION_V3_JOURNAL.json#DEV-034</x:v>
      </x:c>
      <x:c r="K42" s="48" t="str">
        <x:v>QA-002</x:v>
      </x:c>
      <x:c r="L42" s="48" t="str">
        <x:v>V2-DEV</x:v>
      </x:c>
      <x:c r="M42" s="48" t="str">
        <x:v>Codex QA</x:v>
      </x:c>
      <x:c r="N42" s="58" t="n">
        <x:v>46301</x:v>
      </x:c>
      <x:c r="O42" s="55" t="str"/>
    </x:row>
    <x:row r="43" ht="76" customHeight="1">
      <x:c r="A43" s="42" t="str">
        <x:v>DEV-035</x:v>
      </x:c>
      <x:c r="B43" s="42" t="str">
        <x:v>LOCAL DEV</x:v>
      </x:c>
      <x:c r="C43" s="42" t="str">
        <x:v>P1 - Required</x:v>
      </x:c>
      <x:c r="D43" s="42" t="str">
        <x:v>REACTOR • Runtime and viewport readouts</x:v>
      </x:c>
      <x:c r="E43" s="48" t="str">
        <x:v>Pass</x:v>
      </x:c>
      <x:c r="F43" s="48" t="str">
        <x:v>PREVIOUS RESULT: Blocked. Blocked by QA-002: the Reactor DEV panel cannot be opened, so the remaining game-panel controls are unreachable.
NEW RESULT: PASS; COMPLETED.
REASON: NormalfreshboardHUD0heat/score/stability/moves1/1inventories matchDEVreadouts; occupied6andlegal21. Actualiframe344×459matchesportraitcontainer,DPR1,304canvas/cell51. Elapsedwalltime0freshrun is distincthostactivegameplay360+seconds.
SCOPE: LOCAL DEV 5191
V3: Pass; retained V2 evidence, not rerun. 
Session: V2-DEV; scope: LOCAL DEV 5191. See QA_FINALIZATION_V3_JOURNAL.json#DEV-035 and HANDOFF_AND_FIX_QUEUE.md.
Retained prior verified evidence — not rerun in Final AI pass.</x:v>
      </x:c>
      <x:c r="G43" s="42" t="str">
        <x:v>LOCAL DEV; disposable Reactor state; record labels of any failing control.</x:v>
      </x:c>
      <x:c r="H43" s="42" t="str">
        <x:v>Compare phase, moves, score, heat, stability, inventories, occupied/legal count, viewport/mode/canvas/cell size.</x:v>
      </x:c>
      <x:c r="I43" s="42" t="str">
        <x:v>Readouts accurate for actual iframe/current board. Elapsed wall time is not host active-play time.</x:v>
      </x:c>
      <x:c r="J43" s="48" t="str">
        <x:v>C:/Users/mlgjm/OneDrive/Desktop/GameWebsite/outputs/qa-recovery-v2/QA_Evidence/reactor-panel-geometry.json; C:/Users/mlgjm/OneDrive/Desktop/GameWebsite/outputs/qa-recovery-v2/QA_Evidence/reactor-default-normal-restart.txt; historical: C:/Users/mlgjm/OneDrive/Desktop/GameWebsite/outputs/qa-20261006/QA_Evidence/notes/browser-observations.md; V3 journal: C:/Users/mlgjm/OneDrive/Desktop/GameWebsite/outputs/qa-finalization-v3/QA_FINALIZATION_V3_JOURNAL.json#DEV-035</x:v>
      </x:c>
      <x:c r="K43" s="48" t="str">
        <x:v>QA-002</x:v>
      </x:c>
      <x:c r="L43" s="48" t="str">
        <x:v>V2-DEV</x:v>
      </x:c>
      <x:c r="M43" s="48" t="str">
        <x:v>Codex QA</x:v>
      </x:c>
      <x:c r="N43" s="58" t="n">
        <x:v>46301</x:v>
      </x:c>
      <x:c r="O43" s="54" t="str"/>
    </x:row>
    <x:row r="44" ht="76" customHeight="1">
      <x:c r="A44" s="44" t="str">
        <x:v>DEV-036</x:v>
      </x:c>
      <x:c r="B44" s="44" t="str">
        <x:v>LOCAL DEV</x:v>
      </x:c>
      <x:c r="C44" s="44" t="str">
        <x:v>P1 - Required</x:v>
      </x:c>
      <x:c r="D44" s="44" t="str">
        <x:v>REACTOR • Performance diagnostics</x:v>
      </x:c>
      <x:c r="E44" s="48" t="str">
        <x:v>Pass</x:v>
      </x:c>
      <x:c r="F44" s="48" t="str">
        <x:v>PREVIOUS RESULT: Blocked. Blocked by QA-002: the Reactor DEV panel cannot be opened, so the remaining game-panel controls are unreachable.
NEW RESULT: PASS; COMPLETED.
REASON: AcrossnormalReinitialize/Restartandcommittedmerges,diagnosticscontinueupdating(FPS244→238,framerolling≈240); postsettlematches2cells,tweens0/effects0,nofreeze/unboundedvisibleaccumulationinshortrepetitionjourney. Notlongsoakproof.
SCOPE: LOCAL DEV 5191
V3: Pass; retained V2 evidence, not rerun. 
Session: V2-DEV; scope: LOCAL DEV 5191. See QA_FINALIZATION_V3_JOURNAL.json#DEV-036 and HANDOFF_AND_FIX_QUEUE.md.
Retained prior verified evidence — not rerun in Final AI pass.</x:v>
      </x:c>
      <x:c r="G44" s="44" t="str">
        <x:v>LOCAL DEV; disposable Reactor state; record labels of any failing control.</x:v>
      </x:c>
      <x:c r="H44" s="44" t="str">
        <x:v>Play/restart repeatedly while watching FPS/frame time/tweens/effects.</x:v>
      </x:c>
      <x:c r="I44" s="44" t="str">
        <x:v>Values update without freezing game; no unbounded accumulation after effects complete.</x:v>
      </x:c>
      <x:c r="J44" s="48" t="str">
        <x:v>C:/Users/mlgjm/OneDrive/Desktop/GameWebsite/outputs/qa-recovery-v2/QA_Evidence/reactor-result-reinitialize-board.txt; C:/Users/mlgjm/OneDrive/Desktop/GameWebsite/outputs/qa-recovery-v2/QA_Evidence/reactor-normal-pause-restart-board.txt; C:/Users/mlgjm/OneDrive/Desktop/GameWebsite/outputs/qa-recovery-v2/QA_Evidence/reactor-nonterminal-merge-settled.txt; historical: C:/Users/mlgjm/OneDrive/Desktop/GameWebsite/outputs/qa-20261006/QA_Evidence/notes/browser-observations.md; V3 journal: C:/Users/mlgjm/OneDrive/Desktop/GameWebsite/outputs/qa-finalization-v3/QA_FINALIZATION_V3_JOURNAL.json#DEV-036</x:v>
      </x:c>
      <x:c r="K44" s="48" t="str">
        <x:v>QA-002</x:v>
      </x:c>
      <x:c r="L44" s="48" t="str">
        <x:v>V2-DEV</x:v>
      </x:c>
      <x:c r="M44" s="48" t="str">
        <x:v>Codex QA</x:v>
      </x:c>
      <x:c r="N44" s="58" t="n">
        <x:v>46301</x:v>
      </x:c>
      <x:c r="O44" s="55" t="str"/>
    </x:row>
    <x:row r="45" ht="76" customHeight="1">
      <x:c r="A45" s="42" t="str">
        <x:v>DEV-037</x:v>
      </x:c>
      <x:c r="B45" s="42" t="str">
        <x:v>LOCAL DEV</x:v>
      </x:c>
      <x:c r="C45" s="42" t="str">
        <x:v>P1 - Required</x:v>
      </x:c>
      <x:c r="D45" s="42" t="str">
        <x:v>REACTOR • Grid and initial-cell controls</x:v>
      </x:c>
      <x:c r="E45" s="48" t="str">
        <x:v>Pass</x:v>
      </x:c>
      <x:c r="F45" s="48" t="str">
        <x:v>PREVIOUS RESULT: Blocked. Blocked by QA-002: the Reactor DEV panel cannot be opened, so the remaining game-panel controls are unreachable.
NEW RESULT: PASS; COMPLETED.
REASON: Changed grid6×6 to4×4 and requested Initial Cell Count20. Active board stayed6/36 until Restart; new run became16/16 with cell size76 and legal actions48, so population was clamped to actual capacity.
SCOPE: LOCAL DEV 5191
V3: Pass; retained V2 evidence, not rerun. 
Session: V2-DEV; scope: LOCAL DEV 5191. See QA_FINALIZATION_V3_JOURNAL.json#DEV-037 and HANDOFF_AND_FIX_QUEUE.md.
Retained prior verified evidence — not rerun in Final AI pass.</x:v>
      </x:c>
      <x:c r="G45" s="42" t="str">
        <x:v>LOCAL DEV; disposable Reactor state; record labels of any failing control.</x:v>
      </x:c>
      <x:c r="H45" s="42" t="str">
        <x:v>Change width/height and initial count, compare active board, restart.</x:v>
      </x:c>
      <x:c r="I45" s="42" t="str">
        <x:v>Structural changes require restart; active board not half-resized. Initial counts clamped to capacity.</x:v>
      </x:c>
      <x:c r="J45" s="48" t="str">
        <x:v>C:/Users/mlgjm/OneDrive/Desktop/GameWebsite/outputs/qa-recovery-v2/QA_Evidence/reactor-structural-next-run-before.txt; C:/Users/mlgjm/OneDrive/Desktop/GameWebsite/outputs/qa-recovery-v2/QA_Evidence/reactor-structural-next-run-after.txt; C:/Users/mlgjm/OneDrive/Desktop/GameWebsite/outputs/qa-recovery-v2/QA_Evidence/reactor-initial-all-tier-II.png; historical: C:/Users/mlgjm/OneDrive/Desktop/GameWebsite/outputs/qa-20261006/QA_Evidence/notes/browser-observations.md; V3 journal: C:/Users/mlgjm/OneDrive/Desktop/GameWebsite/outputs/qa-finalization-v3/QA_FINALIZATION_V3_JOURNAL.json#DEV-037</x:v>
      </x:c>
      <x:c r="K45" s="48" t="str">
        <x:v>QA-002</x:v>
      </x:c>
      <x:c r="L45" s="48" t="str">
        <x:v>V2-DEV</x:v>
      </x:c>
      <x:c r="M45" s="48" t="str">
        <x:v>Codex QA</x:v>
      </x:c>
      <x:c r="N45" s="58" t="n">
        <x:v>46301</x:v>
      </x:c>
      <x:c r="O45" s="54" t="str"/>
    </x:row>
    <x:row r="46" ht="76" customHeight="1">
      <x:c r="A46" s="44" t="str">
        <x:v>DEV-038</x:v>
      </x:c>
      <x:c r="B46" s="44" t="str">
        <x:v>LOCAL DEV</x:v>
      </x:c>
      <x:c r="C46" s="44" t="str">
        <x:v>P1 - Required</x:v>
      </x:c>
      <x:c r="D46" s="44" t="str">
        <x:v>REACTOR • Initial tier weights</x:v>
      </x:c>
      <x:c r="E46" s="48" t="str">
        <x:v>Pass</x:v>
      </x:c>
      <x:c r="F46" s="48" t="str">
        <x:v>PREVIOUS RESULT: Blocked. Blocked by QA-002: the Reactor DEV panel cannot be opened, so the remaining game-panel controls are unreachable.
NEW RESULT: PASS; COMPLETED.
REASON: Set next-run initial weights I=0, II=100. Existing cells retained original layout until Restart; new4×4 run displayed all16 cells as TierII with no score/move mutation.
SCOPE: LOCAL DEV 5191
V3: Pass; retained V2 evidence, not rerun. 
Session: V2-DEV; scope: LOCAL DEV 5191. See QA_FINALIZATION_V3_JOURNAL.json#DEV-038 and HANDOFF_AND_FIX_QUEUE.md.
Retained prior verified evidence — not rerun in Final AI pass.</x:v>
      </x:c>
      <x:c r="G46" s="44" t="str">
        <x:v>LOCAL DEV; disposable Reactor state; record labels of any failing control.</x:v>
      </x:c>
      <x:c r="H46" s="44" t="str">
        <x:v>Change initial Tier I/II weights and start fresh run.</x:v>
      </x:c>
      <x:c r="I46" s="44" t="str">
        <x:v>Initial population uses next-run weights; active cells not silently retyped.</x:v>
      </x:c>
      <x:c r="J46" s="48" t="str">
        <x:v>C:/Users/mlgjm/OneDrive/Desktop/GameWebsite/outputs/qa-recovery-v2/QA_Evidence/reactor-structural-next-run-before.txt; C:/Users/mlgjm/OneDrive/Desktop/GameWebsite/outputs/qa-recovery-v2/QA_Evidence/reactor-structural-next-run-after.txt; C:/Users/mlgjm/OneDrive/Desktop/GameWebsite/outputs/qa-recovery-v2/QA_Evidence/reactor-initial-all-tier-II.png; historical: C:/Users/mlgjm/OneDrive/Desktop/GameWebsite/outputs/qa-20261006/QA_Evidence/notes/browser-observations.md; V3 journal: C:/Users/mlgjm/OneDrive/Desktop/GameWebsite/outputs/qa-finalization-v3/QA_FINALIZATION_V3_JOURNAL.json#DEV-038</x:v>
      </x:c>
      <x:c r="K46" s="48" t="str">
        <x:v>QA-002</x:v>
      </x:c>
      <x:c r="L46" s="48" t="str">
        <x:v>V2-DEV</x:v>
      </x:c>
      <x:c r="M46" s="48" t="str">
        <x:v>Codex QA</x:v>
      </x:c>
      <x:c r="N46" s="58" t="n">
        <x:v>46301</x:v>
      </x:c>
      <x:c r="O46" s="55" t="str"/>
    </x:row>
    <x:row r="47" ht="76" customHeight="1">
      <x:c r="A47" s="42" t="str">
        <x:v>DEV-039</x:v>
      </x:c>
      <x:c r="B47" s="42" t="str">
        <x:v>LOCAL DEV</x:v>
      </x:c>
      <x:c r="C47" s="42" t="str">
        <x:v>P1 - Required</x:v>
      </x:c>
      <x:c r="D47" s="42" t="str">
        <x:v>REACTOR • Spawn tier weights</x:v>
      </x:c>
      <x:c r="E47" s="48" t="str">
        <x:v>Pass</x:v>
      </x:c>
      <x:c r="F47" s="48" t="str">
        <x:v>PREVIOUS RESULT: Blocked. Blocked by QA-002: the Reactor DEV panel cannot be opened, so the remaining game-panel controls are unreachable.
NEW RESULT: PASS; COMPLETED.
REASON: Live spawn weights I100/II0 followed a real TierII drag merge: one TierI spawn at vacated index0; move1/score30/stability6/occupied16. Switching live weights I0/II100 followed another actual click merge: one TierII spawn at index2; move2/score60/stability12/occupied16. No restart between live changes, no extra spawn.
SCOPE: LOCAL DEV 5191
V3: Pass; retained V2 evidence, not rerun. 
Session: V2-DEV; scope: LOCAL DEV 5191. See QA_FINALIZATION_V3_JOURNAL.json#DEV-039 and HANDOFF_AND_FIX_QUEUE.md.
Retained prior verified evidence — not rerun in Final AI pass.</x:v>
      </x:c>
      <x:c r="G47" s="42" t="str">
        <x:v>LOCAL DEV; disposable Reactor state; record labels of any failing control.</x:v>
      </x:c>
      <x:c r="H47" s="42" t="str">
        <x:v>Set Tier I then Tier II dominant in separate short runs; take valid moves.</x:v>
      </x:c>
      <x:c r="I47" s="42" t="str">
        <x:v>New spawns respond to live distribution; no invalid tier or extra spawn.</x:v>
      </x:c>
      <x:c r="J47" s="48" t="str">
        <x:v>C:/Users/mlgjm/OneDrive/Desktop/GameWebsite/outputs/qa-recovery-v2/QA_Evidence/reactor-tier-I-spawn-after-merge.txt; C:/Users/mlgjm/OneDrive/Desktop/GameWebsite/outputs/qa-recovery-v2/QA_Evidence/reactor-tier-II-spawn-after-merge.txt; historical: C:/Users/mlgjm/OneDrive/Desktop/GameWebsite/outputs/qa-20261006/QA_Evidence/notes/browser-observations.md; V3 journal: C:/Users/mlgjm/OneDrive/Desktop/GameWebsite/outputs/qa-finalization-v3/QA_FINALIZATION_V3_JOURNAL.json#DEV-039</x:v>
      </x:c>
      <x:c r="K47" s="48" t="str">
        <x:v>QA-002</x:v>
      </x:c>
      <x:c r="L47" s="48" t="str">
        <x:v>V2-DEV</x:v>
      </x:c>
      <x:c r="M47" s="48" t="str">
        <x:v>Codex QA</x:v>
      </x:c>
      <x:c r="N47" s="58" t="n">
        <x:v>46301</x:v>
      </x:c>
      <x:c r="O47" s="54" t="str"/>
    </x:row>
    <x:row r="48" ht="76" customHeight="1">
      <x:c r="A48" s="44" t="str">
        <x:v>DEV-040</x:v>
      </x:c>
      <x:c r="B48" s="44" t="str">
        <x:v>LOCAL DEV</x:v>
      </x:c>
      <x:c r="C48" s="44" t="str">
        <x:v>P1 - Required</x:v>
      </x:c>
      <x:c r="D48" s="44" t="str">
        <x:v>REACTOR • Heat fields</x:v>
      </x:c>
      <x:c r="E48" s="48" t="str">
        <x:v>Pass</x:v>
      </x:c>
      <x:c r="F48" s="48" t="str">
        <x:v>PREVIOUS RESULT: Blocked. Blocked by QA-002: the Reactor DEV panel cannot be opened, so the remaining game-panel controls are unreachable.
NEW RESULT: FAIL; COMPLETED.
REASON: Confirmed V2-005: allowed live Maximum Heat changes affect terminal rule/bar, but displayed heat percentage is raw heat. Real move at max50 reaches50/50 and FAIL with bar100% yet label50%; earlier real simultaneous-threshold turn at max4 reached4/4 yet label4%. One bounded second setup confirms HUD disagreement. Default100 works; remaining tier-cooling field sweep is not claimed executed.
SCOPE: LOCAL DEV live heat tuning + real terminal turns
V3: Fail; retained V2 evidence, not rerun. Confirmed contradiction linked to V2-005.
Outstanding subchecks: After confirmed fix, rerun original expected result: Current rules/HUD reflect changes safely; invalid move still costs nothing; test settings remain RAM-only. The individual contradiction is sufficient for Fail; the rest of the original step sweep was not exhaustively established.
Owner: Engineer. Next: Engineer addresses V2-005; Human tester retests listed assertions against confirmed fix and records actual evidence.
Session: V2-LIVE; scope: LOCAL DEV live heat tuning + real terminal turns. See QA_FINALIZATION_V3_JOURNAL.json#DEV-040 and HANDOFF_AND_FIX_QUEUE.md.
4B.1 retest record (2026-10-06): At default max100, Power-Up Test raw heat50/100 matched HUD label/bar50%; actual Cool action lowered it to raw25/100 with HUD/bar25% and consumed one charge. Snapshot Refresh returned current state; DEV upper runtime readout appeared stale until refresh. Numeric Maximum Heat field was not exposed by locator after one short recovery; no non-default maximum or other heat-field sweep.
FINAL AI 4B.2 (2026-10-07): BLOCKED — HUMAN TESTING REQUIRED [TOOL_LIMITATION].
Why AI did not finish: Exact board-cell/pointer or resolving-state delivery and/or full hover/touch help assertions are not available through the supported API. Accessible subassertions are retained.
AI already proved: V2-005 non-default acceptance gap independently passed: Maximum Heat typed200 and retained across updates/help. QA snapshot heat50/max200, HUD25%, heat bar25%, raw label50/200. Default cooling previously verified.
Remaining: Sweep Heat per Accepted Move, Warning Threshold and II–V cooling with actual valid/invalid board moves; confirm RAM-only reload restoration.
Human action (HQA-20): 1. Use LOCAL DEV; Native browser with positioned pointer and fresh QA namespace; approved prerequisite fixtures. 2. LOCAL DEV; disposable Reactor state; record labels of any failing control. 3. Execute only the remaining assertion: Sweep Heat per Accepted Move, Warning Threshold and II–V cooling with actual valid/invalid board moves; confirm RAM-only reload restoration.
Expected: Current rules/HUD reflect changes safely; invalid move still costs nothing; test settings remain RAM-only.
Capture: Pass/Fail per ID, screenshot or timestamped video/state snapshot, device/OS/browser versions, viewport/zoom/DPR and a note; compare prior evidence instead of repeating proven subassertions.
Session/evidence: S18; QA_Evidence/observations.json. Full grouped instructions: HUMAN_QA_FINAL.md#hqa-20.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48" s="44" t="str">
        <x:v>LOCAL DEV; disposable Reactor state; record labels of any failing control.</x:v>
      </x:c>
      <x:c r="H48" s="44" t="str">
        <x:v>Sweep Maximum Heat, Heat per Accepted Move, Warning Threshold and tier II–V cooling individually.</x:v>
      </x:c>
      <x:c r="I48" s="44" t="str">
        <x:v>Current rules/HUD reflect changes safely; invalid move still costs nothing; test settings remain RAM-only.</x:v>
      </x:c>
      <x:c r="J48" s="48" t="str">
        <x:v>C:/Users/mlgjm/OneDrive/Desktop/GameWebsite/outputs/qa-recovery-v2/QA_Evidence/reactor-simultaneous-threshold-win.txt; C:/Users/mlgjm/OneDrive/Desktop/GameWebsite/outputs/qa-recovery-v2/QA_Evidence/reactor-max-heat-50-before.txt; C:/Users/mlgjm/OneDrive/Desktop/GameWebsite/outputs/qa-recovery-v2/QA_Evidence/reactor-max-heat-50-terminal.txt; C:/Users/mlgjm/OneDrive/Desktop/GameWebsite/outputs/qa-recovery-v2/QA_Evidence/reactor-max-heat-label-mismatch.json; C:/Users/mlgjm/OneDrive/Desktop/GameWebsite/outputs/qa-recovery-v2/QA_Evidence/reactor-max-heat-label-mismatch.png; historical: C:/Users/mlgjm/OneDrive/Desktop/GameWebsite/outputs/qa-20261006/QA_Evidence/notes/browser-observations.md; V3 journal: C:/Users/mlgjm/OneDrive/Desktop/GameWebsite/outputs/qa-finalization-v3/QA_FINALIZATION_V3_JOURNAL.json#DEV-040; browser-observations.json#DEV-040; FINAL AI: C:/Users/mlgjm/OneDrive/Desktop/GameWebsite/outputs/qa-final-ai/2026-10-07_000739/QA_Evidence/observations.json
Human QA completion statement, 2026-10-07; prior AI evidence retained.</x:v>
      </x:c>
      <x:c r="K48" s="48" t="str">
        <x:v>V2-005</x:v>
      </x:c>
      <x:c r="L48" s="48" t="str">
        <x:v>S20</x:v>
      </x:c>
      <x:c r="M48" s="48" t="str">
        <x:v>Hristo</x:v>
      </x:c>
      <x:c r="N48" s="58" t="n">
        <x:v>46302</x:v>
      </x:c>
      <x:c r="O48" s="55" t="str"/>
    </x:row>
    <x:row r="49" ht="76" customHeight="1">
      <x:c r="A49" s="42" t="str">
        <x:v>DEV-041</x:v>
      </x:c>
      <x:c r="B49" s="42" t="str">
        <x:v>LOCAL DEV</x:v>
      </x:c>
      <x:c r="C49" s="42" t="str">
        <x:v>P1 - Required</x:v>
      </x:c>
      <x:c r="D49" s="42" t="str">
        <x:v>REACTOR • Stability and score fields</x:v>
      </x:c>
      <x:c r="E49" s="48" t="str">
        <x:v>Pass</x:v>
      </x:c>
      <x:c r="F49" s="48" t="str">
        <x:v>PREVIOUS RESULT: Blocked. Blocked by QA-002: the Reactor DEV panel cannot be opened, so the remaining game-panel controls are unreachable.
NEW RESULT: NOT_EXECUTED; RUNNABLE.
REASON: Existing evidence needs a targeted comparison against all expected assertions; no V2 browser execution yet.
SCOPE: Historical evidence only; V2 not executed
V3: Blocked [ENVIRONMENT_SETUP]. Proven already: No complete direct evidence; earlier notes retained above.
Remaining: Required assertions not yet fully verified: Matching merge changes correct counter once; score and stability stay independent. Procedure: Sweep stability target and tier II–V stability/score rewards, one at a time.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Required assertions not yet fully verified: Matching merge changes correct counter once; score and stability stay independent. Procedure: Sweep stability target and tier II–V stability/score rewards, one at a time.
Session: S02; scope: Historical evidence only; V2 not executed. See QA_FINALIZATION_V3_JOURNAL.json#DEV-041 and HANDOFF_AND_FIX_QUEUE.md.
FINAL AI 4B.2 (2026-10-07): BLOCKED — HUMAN TESTING REQUIRED [TOOL_LIMITATION].
Why AI did not finish: Exact board-cell/pointer or resolving-state delivery and/or full hover/touch help assertions are not available through the supported API. Accessible subassertions are retained.
AI already proved: No complete independent evidence for the remaining assertions; historical observations remain in the workbook.
Remaining: Matching merge changes correct counter once; score and stability stay independent. Procedure: Sweep stability target and tier II–V stability/score rewards, one at a time.
Human action (HQA-20): 1. Use LOCAL DEV; Native browser with positioned pointer and fresh QA namespace; approved prerequisite fixtures. 2. LOCAL DEV; disposable Reactor state; record labels of any failing control. 3. Execute only the remaining assertion: Matching merge changes correct counter once; score and stability stay independent. Procedure: Sweep stability target and tier II–V stability/score rewards, one at a time.
Expected: Matching merge changes correct counter once; score and stability stay independent.
Capture: Pass/Fail per ID, screenshot or timestamped video/state snapshot, device/OS/browser versions, viewport/zoom/DPR and a note; compare prior evidence instead of repeating proven subassertions.
Session/evidence: S18; Historical evidence retained; no fresh case execution claimed. Full grouped instructions: HUMAN_QA_FINAL.md#hqa-20.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49" s="42" t="str">
        <x:v>LOCAL DEV; disposable Reactor state; record labels of any failing control.</x:v>
      </x:c>
      <x:c r="H49" s="42" t="str">
        <x:v>Sweep stability target and tier II–V stability/score rewards, one at a time.</x:v>
      </x:c>
      <x:c r="I49" s="42" t="str">
        <x:v>Matching merge changes correct counter once; score and stability stay independent.</x:v>
      </x:c>
      <x:c r="J49" s="48" t="str">
        <x:v>C:/Users/mlgjm/OneDrive/Desktop/GameWebsite/outputs/qa-20261006/QA_Evidence/notes/browser-observations.md; V3 journal: C:/Users/mlgjm/OneDrive/Desktop/GameWebsite/outputs/qa-finalization-v3/QA_FINALIZATION_V3_JOURNAL.json#DEV-041
Human QA completion statement, 2026-10-07; prior AI evidence retained.</x:v>
      </x:c>
      <x:c r="K49" s="48" t="str">
        <x:v>QA-002</x:v>
      </x:c>
      <x:c r="L49" s="48" t="str">
        <x:v>S20</x:v>
      </x:c>
      <x:c r="M49" s="48" t="str">
        <x:v>Hristo</x:v>
      </x:c>
      <x:c r="N49" s="58" t="n">
        <x:v>46302</x:v>
      </x:c>
      <x:c r="O49" s="54" t="str"/>
    </x:row>
    <x:row r="50" ht="76" customHeight="1">
      <x:c r="A50" s="44" t="str">
        <x:v>DEV-042</x:v>
      </x:c>
      <x:c r="B50" s="44" t="str">
        <x:v>LOCAL DEV</x:v>
      </x:c>
      <x:c r="C50" s="44" t="str">
        <x:v>P1 - Required</x:v>
      </x:c>
      <x:c r="D50" s="44" t="str">
        <x:v>REACTOR • Cool tuning and test actions</x:v>
      </x:c>
      <x:c r="E50" s="48" t="str">
        <x:v>Pass</x:v>
      </x:c>
      <x:c r="F50" s="48" t="str">
        <x:v>PREVIOUS RESULT: Blocked. Blocked by QA-002: the Reactor DEV panel cannot be opened, so the remaining game-panel controls are unreachable.
NEW RESULT: PASS; COMPLETED.
REASON: Changed NEXT RUN Cool uses1→2 without changing active charge1; live Cool amount7 made Use/Test Cool reduce heat10→3 and consume once. Restore used active-run limit1 and incremented granted accounting separately; use at heat3 cooled to0, repeated use at0 did not consume again. Restart applied two starting charges. No normal power action requested an ad.
SCOPE: LOCAL DEV 5191
V3: Pass; retained V2 evidence, not rerun. 
Session: V2-DEV; scope: LOCAL DEV 5191. See QA_FINALIZATION_V3_JOURNAL.json#DEV-042 and HANDOFF_AND_FIX_QUEUE.md.
Retained prior verified evidence — not rerun in Final AI pass.</x:v>
      </x:c>
      <x:c r="G50" s="44" t="str">
        <x:v>LOCAL DEV; disposable Reactor state; record labels of any failing control.</x:v>
      </x:c>
      <x:c r="H50" s="44" t="str">
        <x:v>Change next-run Cool uses and live amount; Restore Cool and Use/Test Cool.</x:v>
      </x:c>
      <x:c r="I50" s="44" t="str">
        <x:v>Next-run versus LIVE honored; actual cooling only on valid use; restore/depletion not falsely counted as consumption.</x:v>
      </x:c>
      <x:c r="J50" s="48" t="str">
        <x:v>C:/Users/mlgjm/OneDrive/Desktop/GameWebsite/outputs/qa-recovery-v2/QA_Evidence/reactor-cool-tuning-before.txt; C:/Users/mlgjm/OneDrive/Desktop/GameWebsite/outputs/qa-recovery-v2/QA_Evidence/reactor-cool-test-use.txt; C:/Users/mlgjm/OneDrive/Desktop/GameWebsite/outputs/qa-recovery-v2/QA_Evidence/reactor-cool-restore-zero-heat.txt; C:/Users/mlgjm/OneDrive/Desktop/GameWebsite/outputs/qa-recovery-v2/QA_Evidence/reactor-cool-next-run-two.txt; historical: C:/Users/mlgjm/OneDrive/Desktop/GameWebsite/outputs/qa-20261006/QA_Evidence/notes/browser-observations.md; V3 journal: C:/Users/mlgjm/OneDrive/Desktop/GameWebsite/outputs/qa-finalization-v3/QA_FINALIZATION_V3_JOURNAL.json#DEV-042</x:v>
      </x:c>
      <x:c r="K50" s="48" t="str">
        <x:v>QA-002</x:v>
      </x:c>
      <x:c r="L50" s="48" t="str">
        <x:v>V2-DEV</x:v>
      </x:c>
      <x:c r="M50" s="48" t="str">
        <x:v>Codex QA</x:v>
      </x:c>
      <x:c r="N50" s="58" t="n">
        <x:v>46301</x:v>
      </x:c>
      <x:c r="O50" s="55" t="str"/>
    </x:row>
    <x:row r="51" ht="76" customHeight="1">
      <x:c r="A51" s="42" t="str">
        <x:v>DEV-043</x:v>
      </x:c>
      <x:c r="B51" s="42" t="str">
        <x:v>LOCAL DEV</x:v>
      </x:c>
      <x:c r="C51" s="42" t="str">
        <x:v>P1 - Required</x:v>
      </x:c>
      <x:c r="D51" s="42" t="str">
        <x:v>REACTOR • Upgrade tuning and test mode</x:v>
      </x:c>
      <x:c r="E51" s="48" t="str">
        <x:v>Pass</x:v>
      </x:c>
      <x:c r="F51" s="48" t="str">
        <x:v>PREVIOUS RESULT: Blocked. Blocked by QA-002: the Reactor DEV panel cannot be opened, so the remaining game-panel controls are unreachable.
NEW RESULT: PASS; COMPLETED.
REASON: NEXT RUN Upgrade uses2 applied on fresh fixture start. Enter Test Mode only instructed use of player control; it did not consume or arm. Normal Upgrade armed with two charges; live max eligible tier2 rejected TierIII without consuming; targeting TierI upgraded once with charge1/used1, no heat/move/score change and no ad. Restore action retained the configured limit.
SCOPE: LOCAL DEV 5191
V3: Pass; retained V2 evidence, not rerun. 
Session: V2-DEV; scope: LOCAL DEV 5191. See QA_FINALIZATION_V3_JOURNAL.json#DEV-043 and HANDOFF_AND_FIX_QUEUE.md.
Retained prior verified evidence — not rerun in Final AI pass.</x:v>
      </x:c>
      <x:c r="G51" s="42" t="str">
        <x:v>LOCAL DEV; disposable Reactor state; record labels of any failing control.</x:v>
      </x:c>
      <x:c r="H51" s="42" t="str">
        <x:v>Change next-run uses/max eligible tier; Restore Upgrade and Enter Test Mode; select target.</x:v>
      </x:c>
      <x:c r="I51" s="42" t="str">
        <x:v>Arming is not consuming; restrictions respected; no automatic ad on normal use.</x:v>
      </x:c>
      <x:c r="J51" s="48" t="str">
        <x:v>C:/Users/mlgjm/OneDrive/Desktop/GameWebsite/outputs/qa-recovery-v2/QA_Evidence/reactor-upgrade-tuning-test-mode.txt; C:/Users/mlgjm/OneDrive/Desktop/GameWebsite/outputs/qa-recovery-v2/QA_Evidence/reactor-upgrade-armed-two.txt; C:/Users/mlgjm/OneDrive/Desktop/GameWebsite/outputs/qa-recovery-v2/QA_Evidence/reactor-upgrade-max-tier-blocked.txt; C:/Users/mlgjm/OneDrive/Desktop/GameWebsite/outputs/qa-recovery-v2/QA_Evidence/reactor-upgrade-max-tier-valid.txt; historical: C:/Users/mlgjm/OneDrive/Desktop/GameWebsite/outputs/qa-20261006/QA_Evidence/notes/browser-observations.md; V3 journal: C:/Users/mlgjm/OneDrive/Desktop/GameWebsite/outputs/qa-finalization-v3/QA_FINALIZATION_V3_JOURNAL.json#DEV-043</x:v>
      </x:c>
      <x:c r="K51" s="48" t="str">
        <x:v>QA-002</x:v>
      </x:c>
      <x:c r="L51" s="48" t="str">
        <x:v>V2-DEV</x:v>
      </x:c>
      <x:c r="M51" s="48" t="str">
        <x:v>Codex QA</x:v>
      </x:c>
      <x:c r="N51" s="58" t="n">
        <x:v>46301</x:v>
      </x:c>
      <x:c r="O51" s="54" t="str"/>
    </x:row>
    <x:row r="52" ht="76" customHeight="1">
      <x:c r="A52" s="44" t="str">
        <x:v>DEV-044</x:v>
      </x:c>
      <x:c r="B52" s="44" t="str">
        <x:v>LOCAL DEV</x:v>
      </x:c>
      <x:c r="C52" s="44" t="str">
        <x:v>P1 - Required</x:v>
      </x:c>
      <x:c r="D52" s="44" t="str">
        <x:v>REACTOR • Animation durations</x:v>
      </x:c>
      <x:c r="E52" s="48" t="str">
        <x:v>Pass</x:v>
      </x:c>
      <x:c r="F52" s="48" t="str">
        <x:v>PREVIOUS RESULT: Blocked. Blocked by QA-002: the Reactor DEV panel cannot be opened, so the remaining game-panel controls are unreachable.
NEW RESULT: PASS; COMPLETED.
REASON: Changed Move/Merge/Spawn durations to1000ms and performed a real drag move, immediate second-input attempt and Pause. Final PAUSED state has moves1/score0/heat54/occupied2, no queued/presentation lock and no accumulated tweens/effects. Earlier5000ms real merge journey also settled once before Pause. No stuck resolving or duplicate spawn.
SCOPE: LOCAL DEV 5191
V3: Pass; retained V2 evidence, not rerun. 
Session: V2-DEV; scope: LOCAL DEV 5191. See QA_FINALIZATION_V3_JOURNAL.json#DEV-044 and HANDOFF_AND_FIX_QUEUE.md.
Retained prior verified evidence — not rerun in Final AI pass.</x:v>
      </x:c>
      <x:c r="G52" s="44" t="str">
        <x:v>LOCAL DEV; disposable Reactor state; record labels of any failing control.</x:v>
      </x:c>
      <x:c r="H52" s="44" t="str">
        <x:v>Vary move, merge and spawn durations; rapidly click during resolution then Pause.</x:v>
      </x:c>
      <x:c r="I52" s="44" t="str">
        <x:v>Input remains locked until committed turn settled once; effects/phase do not get stuck.</x:v>
      </x:c>
      <x:c r="J52" s="48" t="str">
        <x:v>C:/Users/mlgjm/OneDrive/Desktop/GameWebsite/outputs/qa-recovery-v2/QA_Evidence/reactor-animation-tuning-before.txt; C:/Users/mlgjm/OneDrive/Desktop/GameWebsite/outputs/qa-recovery-v2/QA_Evidence/reactor-animation-rapid-input-pause.txt; C:/Users/mlgjm/OneDrive/Desktop/GameWebsite/outputs/qa-recovery-v2/QA_Evidence/reactor-animation-rapid-input-settled.txt; C:/Users/mlgjm/OneDrive/Desktop/GameWebsite/outputs/qa-recovery-v2/QA_Evidence/reactor-nonterminal-merge-settled.txt; historical: C:/Users/mlgjm/OneDrive/Desktop/GameWebsite/outputs/qa-20261006/QA_Evidence/notes/browser-observations.md; V3 journal: C:/Users/mlgjm/OneDrive/Desktop/GameWebsite/outputs/qa-finalization-v3/QA_FINALIZATION_V3_JOURNAL.json#DEV-044</x:v>
      </x:c>
      <x:c r="K52" s="48" t="str">
        <x:v>QA-002</x:v>
      </x:c>
      <x:c r="L52" s="48" t="str">
        <x:v>V2-DEV</x:v>
      </x:c>
      <x:c r="M52" s="48" t="str">
        <x:v>Codex QA</x:v>
      </x:c>
      <x:c r="N52" s="58" t="n">
        <x:v>46301</x:v>
      </x:c>
      <x:c r="O52" s="55" t="str"/>
    </x:row>
    <x:row r="53" ht="76" customHeight="1">
      <x:c r="A53" s="42" t="str">
        <x:v>DEV-045</x:v>
      </x:c>
      <x:c r="B53" s="42" t="str">
        <x:v>LOCAL DEV</x:v>
      </x:c>
      <x:c r="C53" s="42" t="str">
        <x:v>P1 - Required</x:v>
      </x:c>
      <x:c r="D53" s="42" t="str">
        <x:v>REACTOR • Audio controls/cues</x:v>
      </x:c>
      <x:c r="E53" s="48" t="str">
        <x:v>N/A</x:v>
      </x:c>
      <x:c r="F53" s="48" t="str">
        <x:v>PREVIOUS RESULT: Blocked. Blocked by QA-002: the Reactor DEV panel cannot be opened, so the remaining game-panel controls are unreachable.
NEW RESULT: NOT_EXECUTED; HUMAN_JUDGMENT_REQUIRED.
REASON: Audible cue/mute/volume comparison requires an audio listener.
SCOPE: Historical evidence only; V2 not executed
V3: Blocked [HUMAN_JUDGMENT]. Proven already: Audible cue/mute/volume comparison requires an audio listener.
Remaining: Required assertions not yet fully verified: Audible mute agrees with label; volume changes honored; no overlap/retained audio after ad suspension. Procedure: Toggle Mute; set SFX volume; play move/merge/warning/win/fail test cues.
Specific reason: Audible cue/mute/volume comparison requires an audio listener.
Attempted this run: no. Owner: Human tester. Next step: Human tester executes in the case environment: Required assertions not yet fully verified: Audible mute agrees with label; volume changes honored; no overlap/retained audio after ad suspension. Procedure: Toggle Mute; set SFX volume; play move/merge/warning/win/fail test cues.
Session: S02; scope: Historical evidence only; V2 not executed. See QA_FINALIZATION_V3_JOURNAL.json#DEV-045 and HANDOFF_AND_FIX_QUEUE.md.
FINAL AI 4B.2 (2026-10-07): BLOCKED — HUMAN TESTING REQUIRED [HUMAN_JUDGMENT].
Why AI did not finish: Audible quality, balance, duplication and restoration require human hearing; observable UI/state evidence is retained.
AI already proved: No complete independent evidence for the remaining assertions; historical observations remain in the workbook.
Remaining: Audible mute agrees with label; volume changes honored; no overlap/retained audio after ad suspension. Procedure: Toggle Mute; set SFX volume; play move/merge/warning/win/fail test cues.
Human action (HQA-05): 1. Use LOCAL DEV; Headphones/speakers, native Chrome/Edge and at least one physical mobile browser. 2. LOCAL DEV; disposable Reactor state; record labels of any failing control. 3. Execute only the remaining assertion: Audible mute agrees with label; volume changes honored; no overlap/retained audio after ad suspension. Procedure: Toggle Mute; set SFX volume; play move/merge/warning/win/fail test cues.
Expected: Audible mute agrees with label; volume changes honored; no overlap/retained audio after ad suspension.
Capture: Pass/Fail per ID, screenshot or timestamped video/state snapshot, device/OS/browser versions, viewport/zoom/DPR and a note; compare prior evidence instead of repeating proven subassertions.
Session/evidence: S18; Historical evidence retained; no fresh case execution claimed. Full grouped instructions: HUMAN_QA_FINAL.md#hqa-05. Historical Bug IDs are retained links, not current confirmed dependencies unless explicitly stated.
FINAL HUMAN QA (2026-10-07): N/A — audible acceptance is intentionally deferred because the current games do not yet have the final audio implementation to certify. Hristo explicitly approved audio-owned cases as N/A, with a separate dedicated Audio QA pass required later.</x:v>
      </x:c>
      <x:c r="G53" s="42" t="str">
        <x:v>LOCAL DEV; disposable Reactor state; record labels of any failing control.</x:v>
      </x:c>
      <x:c r="H53" s="42" t="str">
        <x:v>Toggle Mute; set SFX volume; play move/merge/warning/win/fail test cues.</x:v>
      </x:c>
      <x:c r="I53" s="42" t="str">
        <x:v>Audible mute agrees with label; volume changes honored; no overlap/retained audio after ad suspension.</x:v>
      </x:c>
      <x:c r="J53" s="48" t="str">
        <x:v>C:/Users/mlgjm/OneDrive/Desktop/GameWebsite/outputs/qa-20261006/QA_Evidence/notes/browser-observations.md; V3 journal: C:/Users/mlgjm/OneDrive/Desktop/GameWebsite/outputs/qa-finalization-v3/QA_FINALIZATION_V3_JOURNAL.json#DEV-045
Owner-approved Human QA N/A decision, 2026-10-07; prior AI evidence retained.</x:v>
      </x:c>
      <x:c r="K53" s="48" t="str">
        <x:v>QA-002</x:v>
      </x:c>
      <x:c r="L53" s="48" t="str">
        <x:v>S20</x:v>
      </x:c>
      <x:c r="M53" s="48" t="str">
        <x:v>Hristo</x:v>
      </x:c>
      <x:c r="N53" s="58" t="n">
        <x:v>46302</x:v>
      </x:c>
      <x:c r="O53" s="54" t="str"/>
    </x:row>
    <x:row r="54" ht="76" customHeight="1">
      <x:c r="A54" s="44" t="str">
        <x:v>DEV-046</x:v>
      </x:c>
      <x:c r="B54" s="44" t="str">
        <x:v>LOCAL DEV</x:v>
      </x:c>
      <x:c r="C54" s="44" t="str">
        <x:v>P1 - Required</x:v>
      </x:c>
      <x:c r="D54" s="44" t="str">
        <x:v>REACTOR • Score storage/reset</x:v>
      </x:c>
      <x:c r="E54" s="48" t="str">
        <x:v>Pass</x:v>
      </x:c>
      <x:c r="F54" s="48" t="str">
        <x:v>PREVIOUS RESULT: Blocked. Blocked by QA-002: the Reactor DEV panel cannot be opened, so the remaining game-panel controls are unreachable.
NEW RESULT: PARTIAL; ENVIRONMENT_BLOCKED.
REASON: Before reset: best200/storedRuns9 in owned QA origin. ClearScores triggered browser input timeout; documented dialog accessor returned undefined and host-backed inspection timed out. Source confirms action opens native confirmation. Cancel/accept and deletion scope not executed/verified; user dismissal needed to restore UI.
SCOPE: LOCAL DEV 5191
V3: Blocked [TOOL_LIMITATION]. Proven already: Before reset: best200/storedRuns9 in owned QA origin. ClearScores triggered browser input timeout; documented dialog accessor returned undefined and host-backed inspection timed out. Source confirms action opens native confirmation. Cancel/accept and deletion scope not executed/verified; user dismissal needed to restore UI.
Remaining: Required assertions not yet fully verified: Correct storage removed; no Orbit/site/DEV settings wiped; game remains usable without storage. Procedure: View scores; test Clear Scores and Reset All Reactor Data in disposable profile.
Specific reason: Known native confirmation is inaccessible to documented dialog tools. Do not re-enter or confirm deletion to recover automation; arrange supported Cancel and isolated backed-up manual reset testing.
Attempted this run: no. Owner: Engineer. Next step: Establish the specific required fixture/tool/runtime, then Human tester executes: Required assertions not yet fully verified: Correct storage removed; no Orbit/site/DEV settings wiped; game remains usable without storage. Procedure: View scores; test Clear Scores and Reset All Reactor Data in disposable profile.
Session: V2-DEV; scope: LOCAL DEV 5191. See QA_FINALIZATION_V3_JOURNAL.json#DEV-046 and HANDOFF_AND_FIX_QUEUE.md.
4B.1 retest record (2026-10-06): In the exact launcher QA namespace, View Scores showed two completed entries. Clear Scores dialog advertised only scores/legacy best; Escape cancelled without deletion and focus returned to Clear Scores. Confirm reduced stored runs to zero. Reset Scores and Session Log dialog named same QA namespace and retained runtime/audio/board/host ad history; one Fresh Run then worked. Orbit best420 remained after Reactor reset. Site/DEV setting preservation was not fully checked.
FINAL AI 4B.2 (2026-10-07): BLOCKED — HUMAN TESTING REQUIRED [ENGINEERING_ACCESS].
Why AI did not finish: The required isolated profile, controlled storage fixture, cache-disable/deployment inspection or attributed console/network surface is unavailable. One capability inventory/readiness check was sufficient; no repeated unsupported attempts.
AI already proved: ClearScores Cancel retained3runs/RAM1; confirm removedscores only retainingRAM1. CombinedReset removedRAM1too, kept runtime/board; Orbit2214 stayed. Reverse Orbit reset retained Reactor Best100/StoredRuns1.
Remaining: Run the same controls with denied-storage disposable profile and verify playable memory fallback; current IAB cannot create restricted-storage context. Compare positive audio/tuning/host history before/after.
Human action (HQA-11): 1. Use LOCAL DEV; Engineer with disposable native browser profiles and controlled storage fixtures; never ordinary personal origin data. 2. LOCAL DEV; disposable Reactor state; record labels of any failing control. 3. Execute only the remaining assertion: Run the same controls with denied-storage disposable profile and verify playable memory fallback; current IAB cannot create restricted-storage context. Compare positive audio/tuning/host history before/after.
Expected: Correct storage removed; no Orbit/site/DEV settings wiped; game remains usable without storage.
Capture: Pass/Fail per ID, screenshot or timestamped video/state snapshot, device/OS/browser versions, viewport/zoom/DPR and a note; compare prior evidence instead of repeating proven subassertions.
Session/evidence: S18; QA_Evidence/observations.json. Full grouped instructions: HUMAN_QA_FINAL.md#hqa-11.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54" s="44" t="str">
        <x:v>LOCAL DEV; disposable Reactor state; record labels of any failing control.</x:v>
      </x:c>
      <x:c r="H54" s="44" t="str">
        <x:v>View scores; test Clear Scores and Reset All Reactor Data in disposable profile.</x:v>
      </x:c>
      <x:c r="I54" s="44" t="str">
        <x:v>Correct storage removed; no Orbit/site/DEV settings wiped; game remains usable without storage.</x:v>
      </x:c>
      <x:c r="J54" s="48" t="str">
        <x:v>C:/Users/mlgjm/OneDrive/Desktop/GameWebsite/outputs/qa-recovery-v2/QA_Evidence/reactor-storage-before-reset.txt; C:/Users/mlgjm/OneDrive/Desktop/GameWebsite/outputs/qa-recovery-v2/QA_Evidence/browser-confirmation-interruption.json; historical: C:/Users/mlgjm/OneDrive/Desktop/GameWebsite/outputs/qa-20261006/QA_Evidence/notes/browser-observations.md; V3 journal: C:/Users/mlgjm/OneDrive/Desktop/GameWebsite/outputs/qa-finalization-v3/QA_FINALIZATION_V3_JOURNAL.json#DEV-046; reactor-dev-qa-scope.png; browser-observations.json#DEV-046; FINAL AI: C:/Users/mlgjm/OneDrive/Desktop/GameWebsite/outputs/qa-final-ai/2026-10-07_000739/QA_Evidence/observations.json
Human QA completion statement, 2026-10-07; prior AI evidence retained.</x:v>
      </x:c>
      <x:c r="K54" s="48" t="str">
        <x:v>ENV-NATIVE-CONFIRM</x:v>
      </x:c>
      <x:c r="L54" s="48" t="str">
        <x:v>S20</x:v>
      </x:c>
      <x:c r="M54" s="48" t="str">
        <x:v>Hristo</x:v>
      </x:c>
      <x:c r="N54" s="58" t="n">
        <x:v>46302</x:v>
      </x:c>
      <x:c r="O54" s="55" t="str"/>
    </x:row>
    <x:row r="55" ht="76" customHeight="1">
      <x:c r="A55" s="42" t="str">
        <x:v>DEV-047</x:v>
      </x:c>
      <x:c r="B55" s="42" t="str">
        <x:v>LOCAL DEV</x:v>
      </x:c>
      <x:c r="C55" s="42" t="str">
        <x:v>P1 - Required</x:v>
      </x:c>
      <x:c r="D55" s="42" t="str">
        <x:v>REACTOR • Fixture: Fresh Run</x:v>
      </x:c>
      <x:c r="E55" s="48" t="str">
        <x:v>Pass</x:v>
      </x:c>
      <x:c r="F55" s="48" t="str">
        <x:v>PREVIOUS RESULT: Blocked. Blocked by QA-002: the Reactor DEV panel cannot be opened, so the remaining game-panel controls are unreachable.
NEW RESULT: FAIL; COMPLETED.
REASON: Fresh Run fixture creates PLAYING with 0/36 occupied and 0 legal actions; all normal board moves are impossible. It is not a normal six-cell fresh run and the label has no empty-board warning.
SCOPE: LOCAL DEV 5191
V3: Fail; retained V2 evidence, not rerun. Confirmed contradiction linked to V2-001.
Outstanding subchecks: After confirmed fix, rerun original expected result: A genuinely usable fresh test state or truthful fixture label; record discrepancy from normal starting six-cell board. The individual contradiction is sufficient for Fail; the rest of the original step sweep was not exhaustively established.
Owner: Engineer. Next: Engineer addresses V2-001; Human tester retests listed assertions against confirmed fix and records actual evidence.
Session: V2-DEV; scope: LOCAL DEV 5191. See QA_FINALIZATION_V3_JOURNAL.json#DEV-047 and HANDOFF_AND_FIX_QUEUE.md.
4B.1 retest record (2026-10-06): Reactor Fresh Run returned a new run ID in PLAYING; 6x6 board, six occupied cells, 17 legal actions, zero moves/score/heat/stability, one Cool and one Upgrade, and no fixture ad request. Full row passed.
Retained prior verified evidence — not rerun in Final AI pass. Approved prerequisite/setup was reused this run; the complete case was not rerun.</x:v>
      </x:c>
      <x:c r="G55" s="42" t="str">
        <x:v>LOCAL DEV; disposable Reactor state; record labels of any failing control.</x:v>
      </x:c>
      <x:c r="H55" s="42" t="str">
        <x:v>Apply Fresh Run fixture; inspect initial board/phase.</x:v>
      </x:c>
      <x:c r="I55" s="42" t="str">
        <x:v>A genuinely usable fresh test state or truthful fixture label; record discrepancy from normal starting six-cell board.</x:v>
      </x:c>
      <x:c r="J55" s="48" t="str">
        <x:v>C:/Users/mlgjm/OneDrive/Desktop/GameWebsite/outputs/qa-recovery-v2/QA_Evidence/reactor-fresh-run-empty.txt; C:/Users/mlgjm/OneDrive/Desktop/GameWebsite/outputs/qa-recovery-v2/QA_Evidence/reactor-fresh-run-empty.png; historical: C:/Users/mlgjm/OneDrive/Desktop/GameWebsite/outputs/qa-20261006/QA_Evidence/notes/browser-observations.md; V3 journal: C:/Users/mlgjm/OneDrive/Desktop/GameWebsite/outputs/qa-finalization-v3/QA_FINALIZATION_V3_JOURNAL.json#DEV-047; reactor-dev-qa-scope.png</x:v>
      </x:c>
      <x:c r="K55" s="48" t="str">
        <x:v>V2-001</x:v>
      </x:c>
      <x:c r="L55" s="48" t="str">
        <x:v>S14</x:v>
      </x:c>
      <x:c r="M55" s="48" t="str">
        <x:v>Codex QA</x:v>
      </x:c>
      <x:c r="N55" s="58" t="n">
        <x:v>46301</x:v>
      </x:c>
      <x:c r="O55" s="54" t="str"/>
    </x:row>
    <x:row r="56" ht="76" customHeight="1">
      <x:c r="A56" s="44" t="str">
        <x:v>DEV-048</x:v>
      </x:c>
      <x:c r="B56" s="44" t="str">
        <x:v>LOCAL DEV</x:v>
      </x:c>
      <x:c r="C56" s="44" t="str">
        <x:v>P1 - Required</x:v>
      </x:c>
      <x:c r="D56" s="44" t="str">
        <x:v>REACTOR • Fixture: Near Victory</x:v>
      </x:c>
      <x:c r="E56" s="48" t="str">
        <x:v>Pass</x:v>
      </x:c>
      <x:c r="F56" s="48" t="str">
        <x:v>PREVIOUS RESULT: Blocked. Blocked by QA-002: the Reactor DEV panel cannot be opened, so the remaining game-panel controls are unreachable.
NEW RESULT: PASS; COMPLETED.
REASON: Near Victory seeded stability76 and two adjacent Tier IV cells; real merge produced WIN, stability100, score200, moves1, occupied1, one saved run. No terminal extra spawn.
SCOPE: LOCAL DEV 5191
V3: Pass; retained V2 evidence, not rerun. 
Session: V2-DEV; scope: LOCAL DEV 5191. See QA_FINALIZATION_V3_JOURNAL.json#DEV-048 and HANDOFF_AND_FIX_QUEUE.md.
Retained prior verified evidence — not rerun in Final AI pass.</x:v>
      </x:c>
      <x:c r="G56" s="44" t="str">
        <x:v>LOCAL DEV; disposable Reactor state; record labels of any failing control.</x:v>
      </x:c>
      <x:c r="H56" s="44" t="str">
        <x:v>Apply fixture and perform winning merge.</x:v>
      </x:c>
      <x:c r="I56" s="44" t="str">
        <x:v>One expected win and score record; fixture mutation itself not reported as a real reward.</x:v>
      </x:c>
      <x:c r="J56" s="48" t="str">
        <x:v>C:/Users/mlgjm/OneDrive/Desktop/GameWebsite/outputs/qa-recovery-v2/QA_Evidence/reactor-victory-diagnostics.txt; historical: C:/Users/mlgjm/OneDrive/Desktop/GameWebsite/outputs/qa-20261006/QA_Evidence/notes/browser-observations.md; V3 journal: C:/Users/mlgjm/OneDrive/Desktop/GameWebsite/outputs/qa-finalization-v3/QA_FINALIZATION_V3_JOURNAL.json#DEV-048</x:v>
      </x:c>
      <x:c r="K56" s="48" t="str">
        <x:v>QA-002</x:v>
      </x:c>
      <x:c r="L56" s="48" t="str">
        <x:v>V2-DEV</x:v>
      </x:c>
      <x:c r="M56" s="48" t="str">
        <x:v>Codex QA</x:v>
      </x:c>
      <x:c r="N56" s="58" t="n">
        <x:v>46301</x:v>
      </x:c>
      <x:c r="O56" s="55" t="str"/>
    </x:row>
    <x:row r="57" ht="76" customHeight="1">
      <x:c r="A57" s="42" t="str">
        <x:v>DEV-049</x:v>
      </x:c>
      <x:c r="B57" s="42" t="str">
        <x:v>LOCAL DEV</x:v>
      </x:c>
      <x:c r="C57" s="42" t="str">
        <x:v>P1 - Required</x:v>
      </x:c>
      <x:c r="D57" s="42" t="str">
        <x:v>REACTOR • Fixture: Near Heat Failure</x:v>
      </x:c>
      <x:c r="E57" s="48" t="str">
        <x:v>Pass</x:v>
      </x:c>
      <x:c r="F57" s="48" t="str">
        <x:v>PREVIOUS RESULT: Blocked. Blocked by QA-002: the Reactor DEV panel cannot be opened, so the remaining game-panel controls are unreachable.
NEW RESULT: PASS; COMPLETED.
REASON: Near Heat Failure seeded96heat and one TierI; legal move reached100heat and one CONTAINMENT FAILURE result.
SCOPE: LOCAL DEV 5191
V3: Pass; retained V2 evidence, not rerun. 
Session: V2-DEV; scope: LOCAL DEV 5191. See QA_FINALIZATION_V3_JOURNAL.json#DEV-049 and HANDOFF_AND_FIX_QUEUE.md.
Retained prior verified evidence — not rerun in Final AI pass.</x:v>
      </x:c>
      <x:c r="G57" s="42" t="str">
        <x:v>LOCAL DEV; disposable Reactor state; record labels of any failing control.</x:v>
      </x:c>
      <x:c r="H57" s="42" t="str">
        <x:v>Apply fixture and take threshold-reaching move.</x:v>
      </x:c>
      <x:c r="I57" s="42" t="str">
        <x:v>One expected failure/result; no extra turn or stuck animation.</x:v>
      </x:c>
      <x:c r="J57" s="48" t="str">
        <x:v>C:/Users/mlgjm/OneDrive/Desktop/GameWebsite/outputs/qa-recovery-v2/QA_Evidence/reactor-heat-fail.txt; historical: C:/Users/mlgjm/OneDrive/Desktop/GameWebsite/outputs/qa-20261006/QA_Evidence/notes/browser-observations.md; V3 journal: C:/Users/mlgjm/OneDrive/Desktop/GameWebsite/outputs/qa-finalization-v3/QA_FINALIZATION_V3_JOURNAL.json#DEV-049</x:v>
      </x:c>
      <x:c r="K57" s="48" t="str">
        <x:v>QA-002</x:v>
      </x:c>
      <x:c r="L57" s="48" t="str">
        <x:v>V2-DEV</x:v>
      </x:c>
      <x:c r="M57" s="48" t="str">
        <x:v>Codex QA</x:v>
      </x:c>
      <x:c r="N57" s="58" t="n">
        <x:v>46301</x:v>
      </x:c>
      <x:c r="O57" s="54" t="str"/>
    </x:row>
    <x:row r="58" ht="76" customHeight="1">
      <x:c r="A58" s="44" t="str">
        <x:v>DEV-050</x:v>
      </x:c>
      <x:c r="B58" s="44" t="str">
        <x:v>LOCAL DEV</x:v>
      </x:c>
      <x:c r="C58" s="44" t="str">
        <x:v>P1 - Required</x:v>
      </x:c>
      <x:c r="D58" s="44" t="str">
        <x:v>REACTOR • Fixture: All Tiers</x:v>
      </x:c>
      <x:c r="E58" s="48" t="str">
        <x:v>Pass</x:v>
      </x:c>
      <x:c r="F58" s="48" t="str">
        <x:v>PREVIOUS RESULT: Blocked. Blocked by QA-002: the Reactor DEV panel cannot be opened, so the remaining game-panel controls are unreachable.
NEW RESULT: PASS; COMPLETED.
REASON: All Tiers fixture displayed distinct readable I–V cells. Normal Upgrade on TierV kept charge1 and armed mode; targeting TierI upgraded toII with charge0 and no move/heat. Normal adjacentII+II then formedIII once, moves1/score30/stability6/one low-tier spawn.
SCOPE: LOCAL DEV 5191
V3: Pass; retained V2 evidence, not rerun. 
Session: V2-DEV; scope: LOCAL DEV 5191. See QA_FINALIZATION_V3_JOURNAL.json#DEV-050 and HANDOFF_AND_FIX_QUEUE.md.
Retained prior verified evidence — not rerun in Final AI pass.</x:v>
      </x:c>
      <x:c r="G58" s="44" t="str">
        <x:v>LOCAL DEV; disposable Reactor state; record labels of any failing control.</x:v>
      </x:c>
      <x:c r="H58" s="44" t="str">
        <x:v>Apply fixture; inspect all five visuals and valid/invalid upgrades/merges.</x:v>
      </x:c>
      <x:c r="I58" s="44" t="str">
        <x:v>All tiers rendered/readable; Tier V restriction respected.</x:v>
      </x:c>
      <x:c r="J58" s="48" t="str">
        <x:v>C:/Users/mlgjm/OneDrive/Desktop/GameWebsite/outputs/qa-recovery-v2/QA_Evidence/reactor-all-tiers-fixture.png; C:/Users/mlgjm/OneDrive/Desktop/GameWebsite/outputs/qa-recovery-v2/QA_Evidence/reactor-all-tiers-invalid-upgrade.txt; C:/Users/mlgjm/OneDrive/Desktop/GameWebsite/outputs/qa-recovery-v2/QA_Evidence/reactor-all-tiers-valid-upgrade.txt; C:/Users/mlgjm/OneDrive/Desktop/GameWebsite/outputs/qa-recovery-v2/QA_Evidence/reactor-all-tiers-merge-settled.txt; historical: C:/Users/mlgjm/OneDrive/Desktop/GameWebsite/outputs/qa-20261006/QA_Evidence/notes/browser-observations.md; V3 journal: C:/Users/mlgjm/OneDrive/Desktop/GameWebsite/outputs/qa-finalization-v3/QA_FINALIZATION_V3_JOURNAL.json#DEV-050</x:v>
      </x:c>
      <x:c r="K58" s="48" t="str">
        <x:v>QA-002</x:v>
      </x:c>
      <x:c r="L58" s="48" t="str">
        <x:v>V2-DEV</x:v>
      </x:c>
      <x:c r="M58" s="48" t="str">
        <x:v>Codex QA</x:v>
      </x:c>
      <x:c r="N58" s="58" t="n">
        <x:v>46301</x:v>
      </x:c>
      <x:c r="O58" s="55" t="str"/>
    </x:row>
    <x:row r="59" ht="76" customHeight="1">
      <x:c r="A59" s="42" t="str">
        <x:v>DEV-051</x:v>
      </x:c>
      <x:c r="B59" s="42" t="str">
        <x:v>LOCAL DEV</x:v>
      </x:c>
      <x:c r="C59" s="42" t="str">
        <x:v>P1 - Required</x:v>
      </x:c>
      <x:c r="D59" s="42" t="str">
        <x:v>REACTOR • Fixture: Near/Full Deadlock</x:v>
      </x:c>
      <x:c r="E59" s="48" t="str">
        <x:v>Pass</x:v>
      </x:c>
      <x:c r="F59" s="48" t="str">
        <x:v>PREVIOUS RESULT: Blocked. Blocked by QA-002: the Reactor DEV panel cannot be opened, so the remaining game-panel controls are unreachable.
NEW RESULT: PASS; COMPLETED.
REASON: Full Deadlock:36occupied,0legal; Re-evaluate Board produced RESULT FAIL grid locked. Near Deadlock:35occupied,3legal and no failure.
SCOPE: LOCAL DEV 5191
V3: Pass; retained V2 evidence, not rerun. 
Session: V2-DEV; scope: LOCAL DEV 5191. See QA_FINALIZATION_V3_JOURNAL.json#DEV-051 and HANDOFF_AND_FIX_QUEUE.md.
Retained prior verified evidence — not rerun in Final AI pass.</x:v>
      </x:c>
      <x:c r="G59" s="42" t="str">
        <x:v>LOCAL DEV; disposable Reactor state; record labels of any failing control.</x:v>
      </x:c>
      <x:c r="H59" s="42" t="str">
        <x:v>Apply both fixtures separately and re-evaluate.</x:v>
      </x:c>
      <x:c r="I59" s="42" t="str">
        <x:v>Near state permits intended test action; full no-action state resolves to failure without crash.</x:v>
      </x:c>
      <x:c r="J59" s="48" t="str">
        <x:v>C:/Users/mlgjm/OneDrive/Desktop/GameWebsite/outputs/qa-recovery-v2/QA_Evidence/reactor-deadlock-reevaluated.txt; C:/Users/mlgjm/OneDrive/Desktop/GameWebsite/outputs/qa-recovery-v2/QA_Evidence/reactor-near-deadlock.txt; historical: C:/Users/mlgjm/OneDrive/Desktop/GameWebsite/outputs/qa-20261006/QA_Evidence/notes/browser-observations.md; V3 journal: C:/Users/mlgjm/OneDrive/Desktop/GameWebsite/outputs/qa-finalization-v3/QA_FINALIZATION_V3_JOURNAL.json#DEV-051</x:v>
      </x:c>
      <x:c r="K59" s="48" t="str">
        <x:v>QA-002</x:v>
      </x:c>
      <x:c r="L59" s="48" t="str">
        <x:v>V2-DEV</x:v>
      </x:c>
      <x:c r="M59" s="48" t="str">
        <x:v>Codex QA</x:v>
      </x:c>
      <x:c r="N59" s="58" t="n">
        <x:v>46301</x:v>
      </x:c>
      <x:c r="O59" s="54" t="str"/>
    </x:row>
    <x:row r="60" ht="76" customHeight="1">
      <x:c r="A60" s="44" t="str">
        <x:v>DEV-052</x:v>
      </x:c>
      <x:c r="B60" s="44" t="str">
        <x:v>LOCAL DEV</x:v>
      </x:c>
      <x:c r="C60" s="44" t="str">
        <x:v>P1 - Required</x:v>
      </x:c>
      <x:c r="D60" s="44" t="str">
        <x:v>REACTOR • Fixture: Power-Up Test</x:v>
      </x:c>
      <x:c r="E60" s="48" t="str">
        <x:v>Pass</x:v>
      </x:c>
      <x:c r="F60" s="48" t="str">
        <x:v>PREVIOUS RESULT: Blocked. Blocked by QA-002: the Reactor DEV panel cannot be opened, so the remaining game-panel controls are unreachable.
NEW RESULT: PASS; COMPLETED.
REASON: Power-Up fixture seeded50heat/onecell/onecharge each. Cool reduced25heat with used1; Upgrade armed/cancelled and rejected empty without spending, then upgraded occupied target; moves0/score0/occupied1 remained.
SCOPE: LOCAL DEV 5191
V3: Pass; retained V2 evidence, not rerun. 
Session: V2-DEV; scope: LOCAL DEV 5191. See QA_FINALIZATION_V3_JOURNAL.json#DEV-052 and HANDOFF_AND_FIX_QUEUE.md.
Retained prior verified evidence — not rerun in Final AI pass.</x:v>
      </x:c>
      <x:c r="G60" s="44" t="str">
        <x:v>LOCAL DEV; disposable Reactor state; record labels of any failing control.</x:v>
      </x:c>
      <x:c r="H60" s="44" t="str">
        <x:v>Apply fixture; use Cool and Upgrade.</x:v>
      </x:c>
      <x:c r="I60" s="44" t="str">
        <x:v>Predictable test inventory/heat/targets; no real ad/reward receipt generated by fixture.</x:v>
      </x:c>
      <x:c r="J60" s="48" t="str">
        <x:v>C:/Users/mlgjm/OneDrive/Desktop/GameWebsite/outputs/qa-recovery-v2/QA_Evidence/reactor-power-fixture.txt; C:/Users/mlgjm/OneDrive/Desktop/GameWebsite/outputs/qa-recovery-v2/QA_Evidence/reactor-normal-powers.txt; historical: C:/Users/mlgjm/OneDrive/Desktop/GameWebsite/outputs/qa-20261006/QA_Evidence/notes/browser-observations.md; V3 journal: C:/Users/mlgjm/OneDrive/Desktop/GameWebsite/outputs/qa-finalization-v3/QA_FINALIZATION_V3_JOURNAL.json#DEV-052</x:v>
      </x:c>
      <x:c r="K60" s="48" t="str">
        <x:v>QA-002</x:v>
      </x:c>
      <x:c r="L60" s="48" t="str">
        <x:v>V2-DEV</x:v>
      </x:c>
      <x:c r="M60" s="48" t="str">
        <x:v>Codex QA</x:v>
      </x:c>
      <x:c r="N60" s="58" t="n">
        <x:v>46301</x:v>
      </x:c>
      <x:c r="O60" s="55" t="str"/>
    </x:row>
    <x:row r="61" ht="76" customHeight="1">
      <x:c r="A61" s="42" t="str">
        <x:v>DEV-053</x:v>
      </x:c>
      <x:c r="B61" s="42" t="str">
        <x:v>LOCAL DEV</x:v>
      </x:c>
      <x:c r="C61" s="42" t="str">
        <x:v>P1 - Required</x:v>
      </x:c>
      <x:c r="D61" s="42" t="str">
        <x:v>REACTOR • Force Win / Force Fail</x:v>
      </x:c>
      <x:c r="E61" s="48" t="str">
        <x:v>Pass</x:v>
      </x:c>
      <x:c r="F61" s="48" t="str">
        <x:v>PREVIOUS RESULT: Blocked. Blocked by QA-002: the Reactor DEV panel cannot be opened, so the remaining game-panel controls are unreachable.
NEW RESULT: FAIL; COMPLETED.
REASON: Force Win and Force Fail set Result WIN/FAIL but phase remains PLAYING, no terminal result UI, completed-session count stays2. Closing panel after Force Fail leaves active controls at100%heat. Normal threshold fixtures produce RESULT correctly.
SCOPE: LOCAL DEV 5191
V3: Fail; retained V2 evidence, not rerun. Confirmed contradiction linked to V2-002.
Outstanding subchecks: After confirmed fix, rerun original expected result: Correct terminal path, result/log once; no duplicate score on later restart. The individual contradiction is sufficient for Fail; the rest of the original step sweep was not exhaustively established.
Owner: Engineer. Next: Engineer addresses V2-002; Human tester retests listed assertions against confirmed fix and records actual evidence.
Session: V2-DEV; scope: LOCAL DEV 5191. See QA_FINALIZATION_V3_JOURNAL.json#DEV-053 and HANDOFF_AND_FIX_QUEUE.md.
4B.1 retest record (2026-10-06): Actual Force Win and Force Fail were used on separate fresh runs. Both showed their correct RESULT terminal path, one result/log each, and terminal buttons disabled. A later ordinary public restart created a new run; completed-session count remained two with no duplicate.
Retained prior verified evidence — not rerun in Final AI pass. Approved prerequisite/setup was reused this run; the complete case was not rerun.</x:v>
      </x:c>
      <x:c r="G61" s="42" t="str">
        <x:v>LOCAL DEV; disposable Reactor state; record labels of any failing control.</x:v>
      </x:c>
      <x:c r="H61" s="42" t="str">
        <x:v>Trigger each on disposable run.</x:v>
      </x:c>
      <x:c r="I61" s="42" t="str">
        <x:v>Correct terminal path, result/log once; no duplicate score on later restart.</x:v>
      </x:c>
      <x:c r="J61" s="48" t="str">
        <x:v>C:/Users/mlgjm/OneDrive/Desktop/GameWebsite/outputs/qa-recovery-v2/QA_Evidence/reactor-force-win.txt; C:/Users/mlgjm/OneDrive/Desktop/GameWebsite/outputs/qa-recovery-v2/QA_Evidence/reactor-force-fail.txt; C:/Users/mlgjm/OneDrive/Desktop/GameWebsite/outputs/qa-recovery-v2/QA_Evidence/reactor-force-fail-player.png; historical: C:/Users/mlgjm/OneDrive/Desktop/GameWebsite/outputs/qa-20261006/QA_Evidence/notes/browser-observations.md; V3 journal: C:/Users/mlgjm/OneDrive/Desktop/GameWebsite/outputs/qa-finalization-v3/QA_FINALIZATION_V3_JOURNAL.json#DEV-053; browser-observations.json#DEV-053</x:v>
      </x:c>
      <x:c r="K61" s="48" t="str">
        <x:v>V2-002</x:v>
      </x:c>
      <x:c r="L61" s="48" t="str">
        <x:v>S14</x:v>
      </x:c>
      <x:c r="M61" s="48" t="str">
        <x:v>Codex QA</x:v>
      </x:c>
      <x:c r="N61" s="58" t="n">
        <x:v>46301</x:v>
      </x:c>
      <x:c r="O61" s="54" t="str"/>
    </x:row>
    <x:row r="62" ht="76" customHeight="1">
      <x:c r="A62" s="44" t="str">
        <x:v>DEV-054</x:v>
      </x:c>
      <x:c r="B62" s="44" t="str">
        <x:v>LOCAL DEV</x:v>
      </x:c>
      <x:c r="C62" s="44" t="str">
        <x:v>P1 - Required</x:v>
      </x:c>
      <x:c r="D62" s="44" t="str">
        <x:v>REACTOR • Debug overlays</x:v>
      </x:c>
      <x:c r="E62" s="48" t="str">
        <x:v>Pass</x:v>
      </x:c>
      <x:c r="F62" s="48" t="str">
        <x:v>PREVIOUS RESULT: Blocked. Blocked by QA-002: the Reactor DEV panel cannot be opened, so the remaining game-panel controls are unreachable.
NEW RESULT: NOT_EXECUTED; RUNNABLE.
REASON: Existing evidence needs a targeted comparison against all expected assertions; no V2 browser execution yet.
SCOPE: Historical evidence only; V2 not executed
V3: Blocked [ENVIRONMENT_SETUP]. Proven already: No complete direct evidence; earlier notes retained above.
Remaining: Required assertions not yet fully verified: Overlays align with cells; no changes to board logic; toggle off removes them. Procedure: Toggle indices, legal moves, selected cell, geometry and bounds; change selection/resize.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Required assertions not yet fully verified: Overlays align with cells; no changes to board logic; toggle off removes them. Procedure: Toggle indices, legal moves, selected cell, geometry and bounds; change selection/resize.
Session: S02; scope: Historical evidence only; V2 not executed. See QA_FINALIZATION_V3_JOURNAL.json#DEV-054 and HANDOFF_AND_FIX_QUEUE.md.
FINAL AI 4B.2 (2026-10-07): BLOCKED — HUMAN TESTING REQUIRED [TOOL_LIMITATION].
Why AI did not finish: Exact board-cell/pointer or resolving-state delivery and/or full hover/touch help assertions are not available through the supported API. Accessible subassertions are retained.
AI already proved: Toggled allfive overlaysON andOFF through UI; snapshots retained exact same board/run/heat/score/moves. Captured unobscured board after closing inspector.
Remaining: Select occupied cells and resize with overlays active; verify legal/selected highlights and indices align with every cell, then toggleoff removes drawings. No selected cell was established with center-only canvas input.
Human action (HQA-20): 1. Use LOCAL DEV; Native browser with positioned pointer and fresh QA namespace; approved prerequisite fixtures. 2. LOCAL DEV; disposable Reactor state; record labels of any failing control. 3. Execute only the remaining assertion: Select occupied cells and resize with overlays active; verify legal/selected highlights and indices align with every cell, then toggleoff removes drawings. No selected cell was established with center-only canvas input.
Expected: Overlays align with cells; no changes to board logic; toggle off removes them.
Capture: Pass/Fail per ID, screenshot or timestamped video/state snapshot, device/OS/browser versions, viewport/zoom/DPR and a note; compare prior evidence instead of repeating proven subassertions.
Session/evidence: S18; QA_Evidence/observations.json. Full grouped instructions: HUMAN_QA_FINAL.md#hqa-20.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62" s="44" t="str">
        <x:v>LOCAL DEV; disposable Reactor state; record labels of any failing control.</x:v>
      </x:c>
      <x:c r="H62" s="44" t="str">
        <x:v>Toggle indices, legal moves, selected cell, geometry and bounds; change selection/resize.</x:v>
      </x:c>
      <x:c r="I62" s="44" t="str">
        <x:v>Overlays align with cells; no changes to board logic; toggle off removes them.</x:v>
      </x:c>
      <x:c r="J62" s="48" t="str">
        <x:v>C:/Users/mlgjm/OneDrive/Desktop/GameWebsite/outputs/qa-20261006/QA_Evidence/notes/browser-observations.md; V3 journal: C:/Users/mlgjm/OneDrive/Desktop/GameWebsite/outputs/qa-finalization-v3/QA_FINALIZATION_V3_JOURNAL.json#DEV-054; FINAL AI: C:/Users/mlgjm/OneDrive/Desktop/GameWebsite/outputs/qa-final-ai/2026-10-07_000739/QA_Evidence/observations.json
Human QA completion statement, 2026-10-07; prior AI evidence retained.</x:v>
      </x:c>
      <x:c r="K62" s="48" t="str">
        <x:v>QA-002</x:v>
      </x:c>
      <x:c r="L62" s="48" t="str">
        <x:v>S20</x:v>
      </x:c>
      <x:c r="M62" s="48" t="str">
        <x:v>Hristo</x:v>
      </x:c>
      <x:c r="N62" s="58" t="n">
        <x:v>46302</x:v>
      </x:c>
      <x:c r="O62" s="55" t="str"/>
    </x:row>
    <x:row r="63" ht="76" customHeight="1">
      <x:c r="A63" s="42" t="str">
        <x:v>DEV-055</x:v>
      </x:c>
      <x:c r="B63" s="42" t="str">
        <x:v>LOCAL DEV</x:v>
      </x:c>
      <x:c r="C63" s="42" t="str">
        <x:v>P1 - Required</x:v>
      </x:c>
      <x:c r="D63" s="42" t="str">
        <x:v>REACTOR • Re-evaluate and cheat actions</x:v>
      </x:c>
      <x:c r="E63" s="48" t="str">
        <x:v>Pass</x:v>
      </x:c>
      <x:c r="F63" s="48" t="str">
        <x:v>PREVIOUS RESULT: Blocked. Blocked by QA-002: the Reactor DEV panel cannot be opened, so the remaining game-panel controls are unreachable.
NEW RESULT: NOT_EXECUTED; RUNNABLE.
REASON: Existing evidence needs a targeted comparison against all expected assertions; no V2 browser execution yet.
SCOPE: Historical evidence only; V2 not executed
V3: Blocked [ENVIRONMENT_SETUP]. Proven already: No complete direct evidence; earlier notes retained above.
Remaining: Required assertions not yet fully verified: Intended state change only; bounds safe; no crash or duplicate normal-turn effects. Procedure: Test heat±10, stability±10, score+100, add random cell, remove selected, set tier; re-evaluate.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Required assertions not yet fully verified: Intended state change only; bounds safe; no crash or duplicate normal-turn effects. Procedure: Test heat±10, stability±10, score+100, add random cell, remove selected, set tier; re-evaluate.
Session: S02; scope: Historical evidence only; V2 not executed. See QA_FINALIZATION_V3_JOURNAL.json#DEV-055 and HANDOFF_AND_FIX_QUEUE.md.
FINAL AI 4B.2 (2026-10-07): BLOCKED — HUMAN TESTING REQUIRED [TOOL_LIMITATION].
Why AI did not finish: Exact board-cell/pointer or resolving-state delivery and/or full hover/touch help assertions are not available through the supported API. Accessible subassertions are retained.
AI already proved: Actual Heat+10→10/−10→0, Stability+10→10/−10→0, Score+100→100 independent. AddRandomCell increased occupied6→7; no-selection RemoveSelected/SetSelectedTier no crash. Reevaluate settledPLAYING moves0 with counters100/0/0.
Remaining: With a real selected cell verify RemoveSelected and SetSelectedTier intended cell/bounds, including high/low tier limits; no normal-turn duplicate spawn/heat. Selection prerequisite requires positioned pointer.
Human action (HQA-20): 1. Use LOCAL DEV; Native browser with positioned pointer and fresh QA namespace; approved prerequisite fixtures. 2. LOCAL DEV; disposable Reactor state; record labels of any failing control. 3. Execute only the remaining assertion: With a real selected cell verify RemoveSelected and SetSelectedTier intended cell/bounds, including high/low tier limits; no normal-turn duplicate spawn/heat. Selection prerequisite requires positioned pointer.
Expected: Intended state change only; bounds safe; no crash or duplicate normal-turn effects.
Capture: Pass/Fail per ID, screenshot or timestamped video/state snapshot, device/OS/browser versions, viewport/zoom/DPR and a note; compare prior evidence instead of repeating proven subassertions.
Session/evidence: S18; QA_Evidence/observations.json. Full grouped instructions: HUMAN_QA_FINAL.md#hqa-20.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63" s="42" t="str">
        <x:v>LOCAL DEV; disposable Reactor state; record labels of any failing control.</x:v>
      </x:c>
      <x:c r="H63" s="42" t="str">
        <x:v>Test heat±10, stability±10, score+100, add random cell, remove selected, set tier; re-evaluate.</x:v>
      </x:c>
      <x:c r="I63" s="42" t="str">
        <x:v>Intended state change only; bounds safe; no crash or duplicate normal-turn effects.</x:v>
      </x:c>
      <x:c r="J63" s="48" t="str">
        <x:v>C:/Users/mlgjm/OneDrive/Desktop/GameWebsite/outputs/qa-20261006/QA_Evidence/notes/browser-observations.md; V3 journal: C:/Users/mlgjm/OneDrive/Desktop/GameWebsite/outputs/qa-finalization-v3/QA_FINALIZATION_V3_JOURNAL.json#DEV-055; FINAL AI: C:/Users/mlgjm/OneDrive/Desktop/GameWebsite/outputs/qa-final-ai/2026-10-07_000739/QA_Evidence/observations.json
Human QA completion statement, 2026-10-07; prior AI evidence retained.</x:v>
      </x:c>
      <x:c r="K63" s="48" t="str">
        <x:v>QA-002</x:v>
      </x:c>
      <x:c r="L63" s="48" t="str">
        <x:v>S20</x:v>
      </x:c>
      <x:c r="M63" s="48" t="str">
        <x:v>Hristo</x:v>
      </x:c>
      <x:c r="N63" s="58" t="n">
        <x:v>46302</x:v>
      </x:c>
      <x:c r="O63" s="54" t="str"/>
    </x:row>
    <x:row r="64" ht="76" customHeight="1">
      <x:c r="A64" s="44" t="str">
        <x:v>DEV-056</x:v>
      </x:c>
      <x:c r="B64" s="44" t="str">
        <x:v>LOCAL DEV</x:v>
      </x:c>
      <x:c r="C64" s="44" t="str">
        <x:v>P1 - Required</x:v>
      </x:c>
      <x:c r="D64" s="44" t="str">
        <x:v>REACTOR • Ads Integration deplete/locks</x:v>
      </x:c>
      <x:c r="E64" s="48" t="str">
        <x:v>Pass</x:v>
      </x:c>
      <x:c r="F64" s="48" t="str">
        <x:v>PREVIOUS RESULT: Blocked. Blocked by QA-002: the Reactor DEV panel cannot be opened, so the remaining game-panel controls are unreachable.
NEW RESULT: NOT_EXECUTED; RUNNABLE.
REASON: Existing evidence needs a targeted comparison against all expected assertions; no V2 browser execution yet.
SCOPE: Historical evidence only; V2 not executed
V3: Blocked [ENVIRONMENT_SETUP]. Proven already: No complete direct evidence; earlier notes retained above.
Remaining: Required assertions not yet fully verified: Guarded unsafe state changes; separate used/granted stats; no host run-cap reset. Procedure: Use new deplete actions and next-run charge controls; try during resolution/ads.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Required assertions not yet fully verified: Guarded unsafe state changes; separate used/granted stats; no host run-cap reset. Procedure: Use new deplete actions and next-run charge controls; try during resolution/ads.
Session: S02; scope: Historical evidence only; V2 not executed. See QA_FINALIZATION_V3_JOURNAL.json#DEV-056 and HANDOFF_AND_FIX_QUEUE.md.
FINAL AI 4B.2 (2026-10-07): BLOCKED — HUMAN TESTING REQUIRED [TOOL_LIMITATION].
Why AI did not finish: Exact board-cell/pointer or resolving-state delivery and/or full hover/touch help assertions are not available through the supported API. Accessible subassertions are retained.
AI already proved: Actual NEXT RUN Cool2/Upgrade3 then FreshRun gave inventories/granted2/3; DEVdeplete both setinventory0 while used0/granted2/3retained. Prior shown reward blocked unsafe FreshRun and host shown-attempt cap retained.
Remaining: Use real board move to enter resolving, attempt deplete and charge controls during resolving; then repeat during actual rewarded presentation, capture guard/help and ensure run caps not reset. Resolution prerequisite cannot be completed with this API’s center-only canvas clicks.
Human action (HQA-20): 1. Use LOCAL DEV; Native browser with positioned pointer and fresh QA namespace; approved prerequisite fixtures. 2. LOCAL DEV; disposable Reactor state; record labels of any failing control. 3. Execute only the remaining assertion: Use real board move to enter resolving, attempt deplete and charge controls during resolving; then repeat during actual rewarded presentation, capture guard/help and ensure run caps not reset. Resolution prerequisite cannot be completed with this API’s center-only canvas clicks.
Expected: Guarded unsafe state changes; separate used/granted stats; no host run-cap reset.
Capture: Pass/Fail per ID, screenshot or timestamped video/state snapshot, device/OS/browser versions, viewport/zoom/DPR and a note; compare prior evidence instead of repeating proven subassertions.
Session/evidence: S18; QA_Evidence/observations.json. Full grouped instructions: HUMAN_QA_FINAL.md#hqa-20.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64" s="44" t="str">
        <x:v>LOCAL DEV; disposable Reactor state; record labels of any failing control.</x:v>
      </x:c>
      <x:c r="H64" s="44" t="str">
        <x:v>Use new deplete actions and next-run charge controls; try during resolution/ads.</x:v>
      </x:c>
      <x:c r="I64" s="44" t="str">
        <x:v>Guarded unsafe state changes; separate used/granted stats; no host run-cap reset.</x:v>
      </x:c>
      <x:c r="J64" s="48" t="str">
        <x:v>C:/Users/mlgjm/OneDrive/Desktop/GameWebsite/outputs/qa-20261006/QA_Evidence/notes/browser-observations.md; V3 journal: C:/Users/mlgjm/OneDrive/Desktop/GameWebsite/outputs/qa-finalization-v3/QA_FINALIZATION_V3_JOURNAL.json#DEV-056; FINAL AI: C:/Users/mlgjm/OneDrive/Desktop/GameWebsite/outputs/qa-final-ai/2026-10-07_000739/QA_Evidence/observations.json
Human QA completion statement, 2026-10-07; prior AI evidence retained.</x:v>
      </x:c>
      <x:c r="K64" s="48" t="str">
        <x:v>QA-002</x:v>
      </x:c>
      <x:c r="L64" s="48" t="str">
        <x:v>S20</x:v>
      </x:c>
      <x:c r="M64" s="48" t="str">
        <x:v>Hristo</x:v>
      </x:c>
      <x:c r="N64" s="58" t="n">
        <x:v>46302</x:v>
      </x:c>
      <x:c r="O64" s="55" t="str"/>
    </x:row>
    <x:row r="65" ht="76" customHeight="1">
      <x:c r="A65" s="42" t="str">
        <x:v>DEV-057</x:v>
      </x:c>
      <x:c r="B65" s="42" t="str">
        <x:v>LOCAL DEV</x:v>
      </x:c>
      <x:c r="C65" s="42" t="str">
        <x:v>P1 - Required</x:v>
      </x:c>
      <x:c r="D65" s="42" t="str">
        <x:v>REACTOR • Session log exports</x:v>
      </x:c>
      <x:c r="E65" s="48" t="str">
        <x:v>Pass</x:v>
      </x:c>
      <x:c r="F65" s="48" t="str">
        <x:v>PREVIOUS RESULT: Blocked. Blocked by QA-002: the Reactor DEV panel cannot be opened, so the remaining game-panel controls are unreachable.
NEW RESULT: PASS; COMPLETED.
REASON: Completed actual Reactor rewarded grant/manual use run, then legal heat-terminal move. Downloaded and opened real JSON/CSV exports: one FAIL entry with moves1, score0, peakHeat54, elapsedWallSeconds55, Cool granted1/used0 and Upgrade granted2/used2. Valid JSON and CSV headers/quoted result reason agree.
SCOPE: LOCAL DEV 5191
V3: Pass; retained V2 evidence, not rerun. 
Session: V2-DEV; scope: LOCAL DEV 5191. See QA_FINALIZATION_V3_JOURNAL.json#DEV-057 and HANDOFF_AND_FIX_QUEUE.md.
Retained prior verified evidence — not rerun in Final AI pass.</x:v>
      </x:c>
      <x:c r="G65" s="42" t="str">
        <x:v>LOCAL DEV; disposable Reactor state; record labels of any failing control.</x:v>
      </x:c>
      <x:c r="H65" s="42" t="str">
        <x:v>Complete runs incl. reward grants; Export JSON/CSV and OPEN files.</x:v>
      </x:c>
      <x:c r="I65" s="42" t="str">
        <x:v>Correct score/moves/result, actual use/grant counters and elapsed-wall label; valid files.</x:v>
      </x:c>
      <x:c r="J65" s="48" t="str">
        <x:v>C:/Users/mlgjm/OneDrive/Desktop/GameWebsite/outputs/qa-recovery-v2/QA_Evidence/reactor-session-export.json; C:/Users/mlgjm/OneDrive/Desktop/GameWebsite/outputs/qa-recovery-v2/QA_Evidence/reactor-session-export.csv; C:/Users/mlgjm/OneDrive/Desktop/GameWebsite/outputs/qa-recovery-v2/QA_Evidence/reactor-export-validation.json; C:/Users/mlgjm/OneDrive/Desktop/GameWebsite/outputs/qa-recovery-v2/QA_Evidence/reactor-charged-run-terminal.txt; historical: C:/Users/mlgjm/OneDrive/Desktop/GameWebsite/outputs/qa-20261006/QA_Evidence/notes/browser-observations.md; V3 journal: C:/Users/mlgjm/OneDrive/Desktop/GameWebsite/outputs/qa-finalization-v3/QA_FINALIZATION_V3_JOURNAL.json#DEV-057</x:v>
      </x:c>
      <x:c r="K65" s="48" t="str">
        <x:v>QA-002</x:v>
      </x:c>
      <x:c r="L65" s="48" t="str">
        <x:v>V2-DEV</x:v>
      </x:c>
      <x:c r="M65" s="48" t="str">
        <x:v>Codex QA</x:v>
      </x:c>
      <x:c r="N65" s="58" t="n">
        <x:v>46301</x:v>
      </x:c>
      <x:c r="O65" s="54" t="str"/>
    </x:row>
    <x:row r="66" ht="76" customHeight="1">
      <x:c r="A66" s="44" t="str">
        <x:v>DEV-058</x:v>
      </x:c>
      <x:c r="B66" s="44" t="str">
        <x:v>LOCAL DEV</x:v>
      </x:c>
      <x:c r="C66" s="44" t="str">
        <x:v>P1 - Required</x:v>
      </x:c>
      <x:c r="D66" s="44" t="str">
        <x:v>REACTOR • Clear log / config / reload</x:v>
      </x:c>
      <x:c r="E66" s="48" t="str">
        <x:v>Pass</x:v>
      </x:c>
      <x:c r="F66" s="48" t="str">
        <x:v>PREVIOUS RESULT: Blocked. Blocked by QA-002: the Reactor DEV panel cannot be opened, so the remaining game-panel controls are unreachable.
NEW RESULT: PARTIAL; RUNNABLE.
REASON: Clear Session Log removed RAM records without erasing stored high scores. Reset Defaults restored tuning; subsequent real terminal created RAM log1 and GridWidth8; reload reset log0/width6 while persistent best200/scores remained. Copy Config action produced no verifiable JSON in tool clipboard; no related console error, so copy assertion remains inconclusive rather than falsely passed.
SCOPE: LOCAL DEV browser memory/storage scopes; clipboard assertion partial
V3: Blocked [TOOL_LIMITATION]. Proven already: Clear Session Log removed RAM records without erasing stored high scores. Reset Defaults restored tuning; subsequent real terminal created RAM log1 and GridWidth8; reload reset log0/width6 while persistent best200/scores remained. Copy Config action produced no verifiable JSON in tool clipboard; no related console error, so copy assertion remains inconclusive rather than falsely passed.
Remaining: Actual Copy Config JSON clipboard contents parse as JSON; log/default/reload scopes already proven.
Specific reason: Clear Session Log removed RAM records without erasing stored high scores. Reset Defaults restored tuning; subsequent real terminal created RAM log1 and GridWidth8; reload reset log0/width6 while persistent best200/scores remained. Copy Config action produced no verifiable JSON in tool clipboard; no related console error, so copy assertion remains inconclusive rather than falsely passed.
Attempted this run: no. Owner: Engineer. Next step: Establish the specific required fixture/tool/runtime, then Human tester executes: Actual Copy Config JSON clipboard contents parse as JSON; log/default/reload scopes already proven.
Session: V2-DEV; scope: LOCAL DEV browser memory/storage scopes; clipboard assertion partial. See QA_FINALIZATION_V3_JOURNAL.json#DEV-058 and HANDOFF_AND_FIX_QUEUE.md.
FINAL AI 4B.2 (2026-10-07): Pass. Created one QA completed score prerequisite. COPY CONFIG JSON populated clipboard with parseable1098-byte JSON captured in evidence. Clear Session Log set RAM count0, Reset Defaults retained Stored Runs1/Best0. Reload restored Maximum Heat100 and RAM log0 while persisted Stored Runs1 remained. Scoped QA namespace throughout.
Session/evidence: S18; QA_Evidence/observations.json.</x:v>
      </x:c>
      <x:c r="G66" s="44" t="str">
        <x:v>LOCAL DEV; disposable Reactor state; record labels of any failing control.</x:v>
      </x:c>
      <x:c r="H66" s="44" t="str">
        <x:v>Clear Session Log; Copy Config JSON; Reset Defaults; reload.</x:v>
      </x:c>
      <x:c r="I66" s="44" t="str">
        <x:v>Copied config valid; intended scope only; logs/tuning RAM-only, local high scores not erased by generic config reset.</x:v>
      </x:c>
      <x:c r="J66" s="48" t="str">
        <x:v>C:/Users/mlgjm/OneDrive/Desktop/GameWebsite/outputs/qa-recovery-v2/QA_Evidence/reactor-clear-log-scope.txt; C:/Users/mlgjm/OneDrive/Desktop/GameWebsite/outputs/qa-recovery-v2/QA_Evidence/reactor-memory-scopes-before-reload.txt; C:/Users/mlgjm/OneDrive/Desktop/GameWebsite/outputs/qa-recovery-v2/QA_Evidence/reactor-memory-scopes-after-reload.txt; historical: C:/Users/mlgjm/OneDrive/Desktop/GameWebsite/outputs/qa-20261006/QA_Evidence/notes/browser-observations.md; V3 journal: C:/Users/mlgjm/OneDrive/Desktop/GameWebsite/outputs/qa-finalization-v3/QA_FINALIZATION_V3_JOURNAL.json#DEV-058; FINAL AI: C:/Users/mlgjm/OneDrive/Desktop/GameWebsite/outputs/qa-final-ai/2026-10-07_000739/QA_Evidence/observations.json</x:v>
      </x:c>
      <x:c r="K66" s="48" t="str">
        <x:v>QA-002</x:v>
      </x:c>
      <x:c r="L66" s="48" t="str">
        <x:v>S18</x:v>
      </x:c>
      <x:c r="M66" s="48" t="str">
        <x:v>Codex Final AI QA</x:v>
      </x:c>
      <x:c r="N66" s="58" t="n">
        <x:v>46301.8803125</x:v>
      </x:c>
      <x:c r="O66" s="55" t="str"/>
    </x:row>
    <x:row r="67" ht="76" customHeight="1">
      <x:c r="A67" s="42" t="str">
        <x:v>DEV-059</x:v>
      </x:c>
      <x:c r="B67" s="42" t="str">
        <x:v>LOCAL DEV</x:v>
      </x:c>
      <x:c r="C67" s="42" t="str">
        <x:v>P1 - Required</x:v>
      </x:c>
      <x:c r="D67" s="42" t="str">
        <x:v>REACTOR • Read/edit and help stability</x:v>
      </x:c>
      <x:c r="E67" s="48" t="str">
        <x:v>Pass</x:v>
      </x:c>
      <x:c r="F67" s="48" t="str">
        <x:v>PREVIOUS RESULT: Blocked. Blocked by QA-002: the Reactor DEV panel cannot be opened, so the remaining game-panel controls are unreachable.
NEW RESULT: NOT_EXECUTED; RUNNABLE.
REASON: Existing evidence needs a targeted comparison against all expected assertions; no V2 browser execution yet.
SCOPE: Historical evidence only; V2 not executed
V3: Blocked [ENVIRONMENT_SETUP]. Proven already: No complete direct evidence; earlier notes retained above.
Remaining: Required assertions not yet fully verified: No lost edits or inaccessible help. Full legacy-panel tooltip coverage is not assumed; new ad controls must have it. Procedure: Type into inputs while stats refresh, inspect Ads Integration help via hover/focus/tap.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Required assertions not yet fully verified: No lost edits or inaccessible help. Full legacy-panel tooltip coverage is not assumed; new ad controls must have it. Procedure: Type into inputs while stats refresh, inspect Ads Integration help via hover/focus/tap.
Session: S02; scope: Historical evidence only; V2 not executed. See QA_FINALIZATION_V3_JOURNAL.json#DEV-059 and HANDOFF_AND_FIX_QUEUE.md.
FINAL AI 4B.2 (2026-10-07): BLOCKED — HUMAN TESTING REQUIRED [TOOL_LIMITATION].
Why AI did not finish: Exact board-cell/pointer or resolving-state delivery and/or full hover/touch help assertions are not available through the supported API. Accessible subassertions are retained.
AI already proved: No complete independent evidence for the remaining assertions; historical observations remain in the workbook.
Remaining: No lost edits or inaccessible help. Full legacy-panel tooltip coverage is not assumed; new ad controls must have it. Procedure: Type into inputs while stats refresh, inspect Ads Integration help via hover/focus/tap.
Human action (HQA-20): 1. Use LOCAL DEV; Native browser with positioned pointer and fresh QA namespace; approved prerequisite fixtures. 2. LOCAL DEV; disposable Reactor state; record labels of any failing control. 3. Execute only the remaining assertion: No lost edits or inaccessible help. Full legacy-panel tooltip coverage is not assumed; new ad controls must have it. Procedure: Type into inputs while stats refresh, inspect Ads Integration help via hover/focus/tap.
Expected: No lost edits or inaccessible help. Full legacy-panel tooltip coverage is not assumed; new ad controls must have it.
Capture: Pass/Fail per ID, screenshot or timestamped video/state snapshot, device/OS/browser versions, viewport/zoom/DPR and a note; compare prior evidence instead of repeating proven subassertions.
Session/evidence: S18; Historical evidence retained; no fresh case execution claimed. Full grouped instructions: HUMAN_QA_FINAL.md#hqa-20. Historical Bug IDs are retained links, not current confirmed dependencies unless explicitly stated.
FINAL HUMAN QA (2026-10-07): PASS for functional read/edit/help stability. Separate UX decision: the overall DEV Panel is considered overcomplicated and should be redesigned/simplified as its own task.</x:v>
      </x:c>
      <x:c r="G67" s="42" t="str">
        <x:v>LOCAL DEV; disposable Reactor state; record labels of any failing control.</x:v>
      </x:c>
      <x:c r="H67" s="42" t="str">
        <x:v>Type into inputs while stats refresh, inspect Ads Integration help via hover/focus/tap.</x:v>
      </x:c>
      <x:c r="I67" s="42" t="str">
        <x:v>No lost edits or inaccessible help. Full legacy-panel tooltip coverage is not assumed; new ad controls must have it.</x:v>
      </x:c>
      <x:c r="J67" s="48" t="str">
        <x:v>C:/Users/mlgjm/OneDrive/Desktop/GameWebsite/outputs/qa-20261006/QA_Evidence/notes/browser-observations.md; V3 journal: C:/Users/mlgjm/OneDrive/Desktop/GameWebsite/outputs/qa-finalization-v3/QA_FINALIZATION_V3_JOURNAL.json#DEV-059
Human QA completion statement, 2026-10-07; prior AI evidence retained.</x:v>
      </x:c>
      <x:c r="K67" s="48" t="str">
        <x:v>QA-002</x:v>
      </x:c>
      <x:c r="L67" s="48" t="str">
        <x:v>S20</x:v>
      </x:c>
      <x:c r="M67" s="48" t="str">
        <x:v>Hristo</x:v>
      </x:c>
      <x:c r="N67" s="58" t="n">
        <x:v>46302</x:v>
      </x:c>
      <x:c r="O67" s="54" t="str"/>
    </x:row>
  </x:sheetData>
  <x:mergeCells>
    <x:mergeCell ref="A1:O2"/>
    <x:mergeCell ref="A3:O3"/>
    <x:mergeCell ref="A4:O4"/>
  </x:mergeCells>
  <x:conditionalFormatting sqref="E9:E67">
    <x:cfRule type="expression" dxfId="48" priority="1">
      <x:formula>$E9="Not run"</x:formula>
    </x:cfRule>
    <x:cfRule type="expression" dxfId="49" priority="2">
      <x:formula>$E9="In progress"</x:formula>
    </x:cfRule>
    <x:cfRule type="expression" dxfId="50" priority="3">
      <x:formula>$E9="Pass"</x:formula>
    </x:cfRule>
    <x:cfRule type="expression" dxfId="51" priority="4">
      <x:formula>$E9="Fail"</x:formula>
    </x:cfRule>
    <x:cfRule type="expression" dxfId="52" priority="5">
      <x:formula>$E9="Blocked"</x:formula>
    </x:cfRule>
    <x:cfRule type="expression" dxfId="53" priority="6">
      <x:formula>$E9="Retest due"</x:formula>
    </x:cfRule>
    <x:cfRule type="expression" dxfId="54" priority="7">
      <x:formula>$E9="N/A"</x:formula>
    </x:cfRule>
  </x:conditionalFormatting>
  <x:conditionalFormatting sqref="C9:C67">
    <x:cfRule type="expression" dxfId="55" priority="8">
      <x:formula>$C9="P0 - Critical"</x:formula>
    </x:cfRule>
  </x:conditionalFormatting>
  <x:dataValidations count="3">
    <x:dataValidation type="list" sqref="E9:E67">
      <x:formula1>"Not run,In progress,Pass,Fail,Blocked,Retest due,N/A"</x:formula1>
    </x:dataValidation>
    <x:dataValidation type="list" sqref="C9:C67">
      <x:formula1>"P0 - Critical,P1 - Required,P2 - Polish"</x:formula1>
    </x:dataValidation>
    <x:dataValidation type="list" sqref="L9:L67">
      <x:formula1>'Sessions'!$A$9:$A$38</x:formula1>
    </x:dataValidation>
  </x:dataValidations>
  <x:pageMargins left="0.7" right="0.7" top="0.75" bottom="0.75" header="0.3" footer="0.3"/>
  <x:tableParts count="1">
    <x:tablePart xmlns:r="http://schemas.openxmlformats.org/officeDocument/2006/relationships" r:id="R5b4bc48f305d4765"/>
  </x:tableParts>
</x:worksheet>
</file>

<file path=xl/worksheets/sheet11.xml><?xml version="1.0" encoding="utf-8"?>
<x:worksheet xmlns:x="http://schemas.openxmlformats.org/spreadsheetml/2006/main">
  <x:sheetFormatPr defaultRowHeight="15"/>
  <x:cols>
    <x:col min="1" max="1" width="13" hidden="0" customWidth="1"/>
    <x:col min="2" max="2" width="20" hidden="0" customWidth="1"/>
    <x:col min="3" max="3" width="19" hidden="0" customWidth="1"/>
    <x:col min="4" max="4" width="36" hidden="0" customWidth="1"/>
    <x:col min="5" max="5" width="18" hidden="0" customWidth="1"/>
    <x:col min="6" max="6" width="38" hidden="0" customWidth="1"/>
    <x:col min="7" max="7" width="36" hidden="0" customWidth="1"/>
    <x:col min="8" max="8" width="40" hidden="0" customWidth="1"/>
    <x:col min="9" max="9" width="40" hidden="0" customWidth="1"/>
    <x:col min="10" max="10" width="28" hidden="0" customWidth="1"/>
    <x:col min="11" max="11" width="16" hidden="0" customWidth="1"/>
    <x:col min="12" max="12" width="15" hidden="0" customWidth="1"/>
    <x:col min="13" max="13" width="18" hidden="0" customWidth="1"/>
    <x:col min="14" max="14" width="14" hidden="0" customWidth="1"/>
    <x:col min="15" max="15" width="35" hidden="0" customWidth="1"/>
  </x:cols>
  <x:sheetData>
    <x:row r="1">
      <x:c r="A1" s="14" t="str">
        <x:v>DATA BUILD | PRODUCT QA</x:v>
      </x:c>
      <x:c r="B1" s="14"/>
      <x:c r="C1" s="14"/>
      <x:c r="D1" s="14"/>
      <x:c r="E1" s="14"/>
      <x:c r="F1" s="14"/>
      <x:c r="G1" s="14"/>
      <x:c r="H1" s="14"/>
      <x:c r="I1" s="14"/>
      <x:c r="J1" s="14"/>
      <x:c r="K1" s="14"/>
      <x:c r="L1" s="14"/>
      <x:c r="M1" s="14"/>
      <x:c r="N1" s="14"/>
      <x:c r="O1" s="14"/>
    </x:row>
    <x:row r="2">
      <x:c r="A2" s="14"/>
      <x:c r="B2" s="14"/>
      <x:c r="C2" s="14"/>
      <x:c r="D2" s="14"/>
      <x:c r="E2" s="14"/>
      <x:c r="F2" s="14"/>
      <x:c r="G2" s="14"/>
      <x:c r="H2" s="14"/>
      <x:c r="I2" s="14"/>
      <x:c r="J2" s="14"/>
      <x:c r="K2" s="14"/>
      <x:c r="L2" s="14"/>
      <x:c r="M2" s="14"/>
      <x:c r="N2" s="14"/>
      <x:c r="O2" s="14"/>
    </x:row>
    <x:row r="3" ht="24" customHeight="1">
      <x:c r="A3" s="19" t="str">
        <x:v>Baseline 42e8b200 | 27 tests | No results pre-approved | P0/P1 must be resolved before product sign-off</x:v>
      </x:c>
      <x:c r="B3" s="19"/>
      <x:c r="C3" s="19"/>
      <x:c r="D3" s="19"/>
      <x:c r="E3" s="19"/>
      <x:c r="F3" s="19"/>
      <x:c r="G3" s="19"/>
      <x:c r="H3" s="19"/>
      <x:c r="I3" s="19"/>
      <x:c r="J3" s="19"/>
      <x:c r="K3" s="19"/>
      <x:c r="L3" s="19"/>
      <x:c r="M3" s="19"/>
      <x:c r="N3" s="19"/>
      <x:c r="O3" s="19"/>
    </x:row>
    <x:row r="4" ht="24" customHeight="1">
      <x:c r="A4" s="22" t="str">
        <x:v>Fill Status, Actual result, Evidence, Bug ID, Session, Tester and Date. Filters available on row 8. N/A needs a reason; missing hardware is Blocked.</x:v>
      </x:c>
      <x:c r="B4" s="22"/>
      <x:c r="C4" s="22"/>
      <x:c r="D4" s="22"/>
      <x:c r="E4" s="22"/>
      <x:c r="F4" s="22"/>
      <x:c r="G4" s="22"/>
      <x:c r="H4" s="22"/>
      <x:c r="I4" s="22"/>
      <x:c r="J4" s="22"/>
      <x:c r="K4" s="22"/>
      <x:c r="L4" s="22"/>
      <x:c r="M4" s="22"/>
      <x:c r="N4" s="22"/>
      <x:c r="O4" s="22"/>
    </x:row>
    <x:row r="5">
      <x:c r="A5" s="10"/>
      <x:c r="B5" s="10"/>
      <x:c r="C5" s="10"/>
      <x:c r="D5" s="10"/>
      <x:c r="E5" s="10"/>
      <x:c r="F5" s="10"/>
      <x:c r="G5" s="10"/>
      <x:c r="H5" s="10"/>
      <x:c r="I5" s="10"/>
      <x:c r="J5" s="10"/>
      <x:c r="K5" s="10"/>
      <x:c r="L5" s="10"/>
      <x:c r="M5" s="10"/>
      <x:c r="N5" s="10"/>
      <x:c r="O5" s="10"/>
    </x:row>
    <x:row r="6" ht="23" customHeight="1">
      <x:c r="A6" s="25" t="str">
        <x:v>TOTAL</x:v>
      </x:c>
      <x:c r="B6" s="25" t="n">
        <x:f>COUNTA(A9:A35)</x:f>
        <x:v>27</x:v>
      </x:c>
      <x:c r="C6" s="25" t="str">
        <x:v>PASS</x:v>
      </x:c>
      <x:c r="D6" s="25" t="n">
        <x:f>COUNTIF(E9:E35,"Pass")</x:f>
        <x:v>27</x:v>
      </x:c>
      <x:c r="E6" s="25" t="str">
        <x:v>FAIL</x:v>
      </x:c>
      <x:c r="F6" s="25" t="n">
        <x:f>COUNTIF(E9:E35,"Fail")</x:f>
        <x:v>0</x:v>
      </x:c>
      <x:c r="G6" s="25" t="str">
        <x:v>BLOCKED</x:v>
      </x:c>
      <x:c r="H6" s="25" t="n">
        <x:f>COUNTIF(E9:E35,"Blocked")</x:f>
        <x:v>0</x:v>
      </x:c>
      <x:c r="I6" s="25" t="str">
        <x:v>NOT RUN</x:v>
      </x:c>
      <x:c r="J6" s="25" t="n">
        <x:f>COUNTIF(E9:E35,"Not run")</x:f>
        <x:v>0</x:v>
      </x:c>
      <x:c r="K6" s="25" t="str">
        <x:v>EXECUTED</x:v>
      </x:c>
      <x:c r="L6" s="28" t="n">
        <x:f>IFERROR((COUNTIF(E9:E35,"Pass")+COUNTIF(E9:E35,"Fail")+COUNTIF(E9:E35,"N/A"))/COUNTA(A9:A35),0)</x:f>
        <x:v>1</x:v>
      </x:c>
      <x:c r="M6" s="10"/>
      <x:c r="N6" s="10"/>
      <x:c r="O6" s="10"/>
    </x:row>
    <x:row r="7">
      <x:c r="A7" s="10"/>
      <x:c r="B7" s="10"/>
      <x:c r="C7" s="10"/>
      <x:c r="D7" s="10"/>
      <x:c r="E7" s="10"/>
      <x:c r="F7" s="10"/>
      <x:c r="G7" s="10"/>
      <x:c r="H7" s="10"/>
      <x:c r="I7" s="10"/>
      <x:c r="J7" s="10"/>
      <x:c r="K7" s="10"/>
      <x:c r="L7" s="10"/>
      <x:c r="M7" s="10"/>
      <x:c r="N7" s="10"/>
      <x:c r="O7" s="10"/>
    </x:row>
    <x:row r="8" ht="32" customHeight="1">
      <x:c r="A8" s="33" t="str">
        <x:v>Test ID</x:v>
      </x:c>
      <x:c r="B8" s="33" t="str">
        <x:v>Environment</x:v>
      </x:c>
      <x:c r="C8" s="33" t="str">
        <x:v>Priority</x:v>
      </x:c>
      <x:c r="D8" s="33" t="str">
        <x:v>Test / feature</x:v>
      </x:c>
      <x:c r="E8" s="33" t="str">
        <x:v>Status</x:v>
      </x:c>
      <x:c r="F8" s="33" t="str">
        <x:v>Actual result / notes</x:v>
      </x:c>
      <x:c r="G8" s="33" t="str">
        <x:v>Setup / caution</x:v>
      </x:c>
      <x:c r="H8" s="33" t="str">
        <x:v>Steps to perform</x:v>
      </x:c>
      <x:c r="I8" s="33" t="str">
        <x:v>Expected result</x:v>
      </x:c>
      <x:c r="J8" s="33" t="str">
        <x:v>Evidence link / file</x:v>
      </x:c>
      <x:c r="K8" s="33" t="str">
        <x:v>Bug ID(s)</x:v>
      </x:c>
      <x:c r="L8" s="33" t="str">
        <x:v>Session ID</x:v>
      </x:c>
      <x:c r="M8" s="33" t="str">
        <x:v>Tester</x:v>
      </x:c>
      <x:c r="N8" s="33" t="str">
        <x:v>Test date</x:v>
      </x:c>
      <x:c r="O8" s="33" t="str">
        <x:v>Source / baseline reference</x:v>
      </x:c>
    </x:row>
    <x:row r="9" ht="76" customHeight="1">
      <x:c r="A9" s="42" t="str">
        <x:v>SYS-001</x:v>
      </x:c>
      <x:c r="B9" s="42" t="str">
        <x:v>LOCAL / TERMINAL</x:v>
      </x:c>
      <x:c r="C9" s="42" t="str">
        <x:v>P0 - Critical</x:v>
      </x:c>
      <x:c r="D9" s="42" t="str">
        <x:v>QA checkout contains merged PR19</x:v>
      </x:c>
      <x:c r="E9" s="48" t="str">
        <x:v>Pass</x:v>
      </x:c>
      <x:c r="F9" s="48" t="str">
        <x:v>PREVIOUS RESULT: Pass. Verified main branch at 42e8b2007980756a21d17f0e5c0bbd9c8d13d325; fetched origin/main matched HEAD. Checkout was clean before QA.
NEW RESULT: PASS; COMPLETED.
REASON: main HEAD and origin/main both 42e8b2007980756a21d17f0e5c0bbd9c8d13d325; only untracked outputs.
SCOPE: LOCAL / TERMINAL
V3: Pass; retained V2 evidence, not rerun. 
Session: V2-TERM; scope: LOCAL / TERMINAL. See QA_FINALIZATION_V3_JOURNAL.json#SYS-001 and HANDOFF_AND_FIX_QUEUE.md.
Retained prior verified evidence — not rerun in Final AI pass.</x:v>
      </x:c>
      <x:c r="G9" s="42" t="str">
        <x:v>Never reset/stash unrelated work.</x:v>
      </x:c>
      <x:c r="H9" s="42" t="str">
        <x:v>In chosen repo run git status --short, git branch --show-current and git rev-parse HEAD; record in Sessions.</x:v>
      </x:c>
      <x:c r="I9" s="42" t="str">
        <x:v>Clean intended main baseline containing 42e8b200; do not test old PR17 launcher checkout by mistake.</x:v>
      </x:c>
      <x:c r="J9" s="48" t="str">
        <x:v>preflight.json; historical: C:/Users/mlgjm/OneDrive/Desktop/GameWebsite/outputs/qa-20261006/QA_Evidence/notes/automated-results.md; V3 journal: C:/Users/mlgjm/OneDrive/Desktop/GameWebsite/outputs/qa-finalization-v3/QA_FINALIZATION_V3_JOURNAL.json#SYS-001</x:v>
      </x:c>
      <x:c r="K9" s="48"/>
      <x:c r="L9" s="48" t="str">
        <x:v>V2-TERM</x:v>
      </x:c>
      <x:c r="M9" s="48" t="str">
        <x:v>Codex QA</x:v>
      </x:c>
      <x:c r="N9" s="58" t="n">
        <x:v>46301</x:v>
      </x:c>
      <x:c r="O9" s="54" t="str"/>
    </x:row>
    <x:row r="10" ht="76" customHeight="1">
      <x:c r="A10" s="44" t="str">
        <x:v>SYS-002</x:v>
      </x:c>
      <x:c r="B10" s="44" t="str">
        <x:v>LOCAL / TERMINAL</x:v>
      </x:c>
      <x:c r="C10" s="44" t="str">
        <x:v>P0 - Critical</x:v>
      </x:c>
      <x:c r="D10" s="44" t="str">
        <x:v>PC2 update and build origin</x:v>
      </x:c>
      <x:c r="E10" s="48" t="str">
        <x:v>Pass</x:v>
      </x:c>
      <x:c r="F10" s="48" t="str">
        <x:v>PREVIOUS RESULT: Pass. Built the current main checkout at the same SHA as origin/main; no branch switch or reset was needed.
NEW RESULT: PASS; COMPLETED.
REASON: The verified checkout built the new QA-owned runtime; no branch reset or switch.
SCOPE: LOCAL / TERMINAL
V3: Pass; retained V2 evidence, not rerun. 
Session: V2-TERM; scope: LOCAL / TERMINAL. See QA_FINALIZATION_V3_JOURNAL.json#SYS-002 and HANDOFF_AND_FIX_QUEUE.md.
Retained prior verified evidence — not rerun in Final AI pass.</x:v>
      </x:c>
      <x:c r="G10" s="44" t="str">
        <x:v>Use a new separate main clone if unsure.</x:v>
      </x:c>
      <x:c r="H10" s="44" t="str">
        <x:v>Check the folder/branch used by any BAT; fetch and fast-forward only a clean intended checkout, then relaunch.</x:v>
      </x:c>
      <x:c r="I10" s="44" t="str">
        <x:v>PC2 test source is explicitly current; local files do not update just because another PC merged.</x:v>
      </x:c>
      <x:c r="J10" s="48" t="str">
        <x:v>preflight.json; C:/Users/mlgjm/OneDrive/Desktop/GameWebsite/outputs/qa-recovery-v2/QA_Evidence/server-process.txt; historical: C:/Users/mlgjm/OneDrive/Desktop/GameWebsite/outputs/qa-20261006/QA_Evidence/notes/automated-results.md; V3 journal: C:/Users/mlgjm/OneDrive/Desktop/GameWebsite/outputs/qa-finalization-v3/QA_FINALIZATION_V3_JOURNAL.json#SYS-002</x:v>
      </x:c>
      <x:c r="K10" s="48"/>
      <x:c r="L10" s="48" t="str">
        <x:v>V2-TERM</x:v>
      </x:c>
      <x:c r="M10" s="48" t="str">
        <x:v>Codex QA</x:v>
      </x:c>
      <x:c r="N10" s="58" t="n">
        <x:v>46301</x:v>
      </x:c>
      <x:c r="O10" s="55" t="str"/>
    </x:row>
    <x:row r="11" ht="76" customHeight="1">
      <x:c r="A11" s="42" t="str">
        <x:v>SYS-003</x:v>
      </x:c>
      <x:c r="B11" s="42" t="str">
        <x:v>LOCAL / TERMINAL</x:v>
      </x:c>
      <x:c r="C11" s="42" t="str">
        <x:v>P1 - Required</x:v>
      </x:c>
      <x:c r="D11" s="42" t="str">
        <x:v>Dependency/environment baseline</x:v>
      </x:c>
      <x:c r="E11" s="48" t="str">
        <x:v>Pass</x:v>
      </x:c>
      <x:c r="F11" s="48" t="str">
        <x:v>PREVIOUS RESULT: Pass. Node v24.21.0, npm 11.19.0; npm ci completed from lockfile, audited 22 packages and reported 0 vulnerabilities.
NEW RESULT: PASS; COMPLETED.
REASON: Prior specific observation directly answers expected result; retained as historical scoped evidence, not a fresh V2 execution.
SCOPE: Historical evidence only; V2 not executed
V3: Pass; retained V2 evidence, not rerun. 
Session: V1-TERM; scope: Historical evidence only; V2 not executed. See QA_FINALIZATION_V3_JOURNAL.json#SYS-003 and HANDOFF_AND_FIX_QUEUE.md.
Retained prior verified evidence — not rerun in Final AI pass.</x:v>
      </x:c>
      <x:c r="G11" s="42" t="str">
        <x:v>Do not install/upgrade system tools automatically.</x:v>
      </x:c>
      <x:c r="H11" s="42" t="str">
        <x:v>Record node --version and npm.cmd --version; run npm.cmd ci in QA checkout.</x:v>
      </x:c>
      <x:c r="I11" s="42" t="str">
        <x:v>Install succeeds against lockfile; record versions. Reactor README recommends Node24+, package declares &gt;=22.13.</x:v>
      </x:c>
      <x:c r="J11" s="48" t="str">
        <x:v>C:/Users/mlgjm/OneDrive/Desktop/GameWebsite/outputs/qa-20261006/QA_Evidence/notes/automated-results.md; V3 journal: C:/Users/mlgjm/OneDrive/Desktop/GameWebsite/outputs/qa-finalization-v3/QA_FINALIZATION_V3_JOURNAL.json#SYS-003</x:v>
      </x:c>
      <x:c r="K11" s="48"/>
      <x:c r="L11" s="48" t="str">
        <x:v>V1-TERM</x:v>
      </x:c>
      <x:c r="M11" s="48" t="str">
        <x:v>Codex QA</x:v>
      </x:c>
      <x:c r="N11" s="58" t="n">
        <x:v>46301</x:v>
      </x:c>
      <x:c r="O11" s="54" t="str"/>
    </x:row>
    <x:row r="12" ht="76" customHeight="1">
      <x:c r="A12" s="44" t="str">
        <x:v>SYS-004</x:v>
      </x:c>
      <x:c r="B12" s="44" t="str">
        <x:v>LOCAL DEV</x:v>
      </x:c>
      <x:c r="C12" s="44" t="str">
        <x:v>P0 - Critical</x:v>
      </x:c>
      <x:c r="D12" s="44" t="str">
        <x:v>Full-site DEV route graph</x:v>
      </x:c>
      <x:c r="E12" s="48" t="str">
        <x:v>Pass</x:v>
      </x:c>
      <x:c r="F12" s="48" t="str">
        <x:v>PREVIOUS RESULT: Blocked. HUMAN / ENVIRONMENT FOLLOW-UP REQUIRED: User-launched full-site DEV at http://127.0.0.1:5178/ served both integrated game routes and website Ad Dev; Orbit DEV opened. Reactor DEV shortcut failed (QA-002), so full DEV graph is not fully passing. Remaining acceptance criteria were not established in this browser session; complete on the specified supported device/profile or with the missing deterministic setup, then update from direct evidence.
NEW RESULT: PASS; COMPLETED.
REASON: Both full-site DEV iframes load live source, CtrlShiftD opens both game panels, website Ad DEV connects to both mock renderers from one strict5191 server.
SCOPE: LOCAL DEV 5191
V3: Pass; retained V2 evidence, not rerun. 
Session: V2-DEV; scope: LOCAL DEV 5191. See QA_FINALIZATION_V3_JOURNAL.json#SYS-004 and HANDOFF_AND_FIX_QUEUE.md.
Retained prior verified evidence — not rerun in Final AI pass.</x:v>
      </x:c>
      <x:c r="G12" s="44" t="str">
        <x:v>Do not use production preview for mock tests.</x:v>
      </x:c>
      <x:c r="H12" s="44" t="str">
        <x:v>Run npm.cmd run dev -- --port 5173 --strictPort; open both game routes.</x:v>
      </x:c>
      <x:c r="I12" s="44" t="str">
        <x:v>Live DEV game source inside actual host iframe; both game DEV and Ad DEV usable with one terminal.</x:v>
      </x:c>
      <x:c r="J12" s="48" t="str">
        <x:v>C:/Users/mlgjm/OneDrive/Desktop/GameWebsite/outputs/qa-recovery-v2/QA_Evidence/reactor-runtime.txt; C:/Users/mlgjm/OneDrive/Desktop/GameWebsite/outputs/qa-recovery-v2/QA_Evidence/orbit-runtime.txt; C:/Users/mlgjm/OneDrive/Desktop/GameWebsite/outputs/qa-recovery-v2/QA_Evidence/orbit-ads-runtime.txt; historical: C:/Users/mlgjm/OneDrive/Desktop/GameWebsite/outputs/qa-20261006/QA_Evidence/notes/browser-observations.md; V3 journal: C:/Users/mlgjm/OneDrive/Desktop/GameWebsite/outputs/qa-finalization-v3/QA_FINALIZATION_V3_JOURNAL.json#SYS-004</x:v>
      </x:c>
      <x:c r="K12" s="48"/>
      <x:c r="L12" s="48" t="str">
        <x:v>V2-DEV</x:v>
      </x:c>
      <x:c r="M12" s="48" t="str">
        <x:v>Codex QA</x:v>
      </x:c>
      <x:c r="N12" s="58" t="n">
        <x:v>46301</x:v>
      </x:c>
      <x:c r="O12" s="55" t="str"/>
    </x:row>
    <x:row r="13" ht="76" customHeight="1">
      <x:c r="A13" s="42" t="str">
        <x:v>SYS-005</x:v>
      </x:c>
      <x:c r="B13" s="42" t="str">
        <x:v>LOCAL / TERMINAL</x:v>
      </x:c>
      <x:c r="C13" s="42" t="str">
        <x:v>P1 - Required</x:v>
      </x:c>
      <x:c r="D13" s="42" t="str">
        <x:v>No application backend to test</x:v>
      </x:c>
      <x:c r="E13" s="48" t="str">
        <x:v>Pass</x:v>
      </x:c>
      <x:c r="F13" s="48" t="str">
        <x:v>PREVIOUS RESULT: Pass. Repository package scripts define a static Vite build/preview and game test suites; source search found no application API/backend service. The only createServer use is the local verification harness.
NEW RESULT: PASS; COMPLETED.
REASON: Prior specific observation directly answers expected result; retained as historical scoped evidence, not a fresh V2 execution.
SCOPE: Historical evidence only; V2 not executed
V3: Pass; retained V2 evidence, not rerun. 
Session: V1-TERM; scope: Historical evidence only; V2 not executed. See QA_FINALIZATION_V3_JOURNAL.json#SYS-005 and HANDOFF_AND_FIX_QUEUE.md.
Retained prior verified evidence — not rerun in Final AI pass.</x:v>
      </x:c>
      <x:c r="G13" s="42" t="str">
        <x:v>Future providers/admin/CMP remain deferred.</x:v>
      </x:c>
      <x:c r="H13" s="42" t="str">
        <x:v>Review actual sources, Network and README; look for current server/analytics calls.</x:v>
      </x:c>
      <x:c r="I13" s="42" t="str">
        <x:v>Browser-local games/static portal only; no accounts/cloud saves/revenue backend asserted. Record unexpected calls instead of inventing backend tests.</x:v>
      </x:c>
      <x:c r="J13" s="48" t="str">
        <x:v>C:/Users/mlgjm/OneDrive/Desktop/GameWebsite/outputs/qa-20261006/QA_Evidence/notes/automated-results.md; V3 journal: C:/Users/mlgjm/OneDrive/Desktop/GameWebsite/outputs/qa-finalization-v3/QA_FINALIZATION_V3_JOURNAL.json#SYS-005</x:v>
      </x:c>
      <x:c r="K13" s="48"/>
      <x:c r="L13" s="48" t="str">
        <x:v>V1-TERM</x:v>
      </x:c>
      <x:c r="M13" s="48" t="str">
        <x:v>Codex QA</x:v>
      </x:c>
      <x:c r="N13" s="58" t="n">
        <x:v>46301</x:v>
      </x:c>
      <x:c r="O13" s="54" t="str"/>
    </x:row>
    <x:row r="14" ht="76" customHeight="1">
      <x:c r="A14" s="44" t="str">
        <x:v>SYS-006</x:v>
      </x:c>
      <x:c r="B14" s="44" t="str">
        <x:v>LIVE + LOCAL</x:v>
      </x:c>
      <x:c r="C14" s="44" t="str">
        <x:v>P1 - Required</x:v>
      </x:c>
      <x:c r="D14" s="44" t="str">
        <x:v>Origin and profile separation</x:v>
      </x:c>
      <x:c r="E14" s="48" t="str">
        <x:v>Pass</x:v>
      </x:c>
      <x:c r="F14" s="48" t="str">
        <x:v>PREVIOUS RESULT: Blocked. HUMAN TEST REQUIRED: Origin/profile separation across preview ports cannot be compared because localhost:4173 is not reachable in this browser session.
NEW RESULT: NOT_EXECUTED; RUNNABLE.
REASON: Existing evidence needs a targeted comparison against all expected assertions; no V2 browser execution yet.
SCOPE: Historical evidence only; V2 not executed
V3: Pass after scoped evidence comparison; historical executions, not rerun. Compared actual same-browser origin-tagged V2 records: LIVE best247/XP20/stars10, DEV5191 best1270/XP20/stars10, PROD5192 best296/XP0/stars0 after reload. Independent saves are proven; no deletion. Verified owned V2 ports5191/5192 substitute the workbook illustrative5173/4173 ports, as allowed by verified-runtime mission. No cross-PC sync test claimed.
Session: V2-DEV; scope: Explicit V2 multi-origin comparison; historical execution, V3 evidence review. See QA_FINALIZATION_V3_JOURNAL.json#SYS-006 and HANDOFF_AND_FIX_QUEUE.md.
Retained prior verified evidence — not rerun in Final AI pass.</x:v>
      </x:c>
      <x:c r="G14" s="44" t="str">
        <x:v>Use consistent host+port for repeat local tests.</x:v>
      </x:c>
      <x:c r="H14" s="44" t="str">
        <x:v>Compare same browser at LIVE, 127.0.0.1:5173 and :4173; record settings without deleting anything.</x:v>
      </x:c>
      <x:c r="I14" s="44" t="str">
        <x:v>Local storage is not expected to sync across origins/PCs. Distinct data is not a regression.</x:v>
      </x:c>
      <x:c r="J14" s="48" t="str">
        <x:v>C:/Users/mlgjm/OneDrive/Desktop/GameWebsite/outputs/qa-20261006/QA_Evidence/notes/browser-observations.md; V2 reviewed: C:/Users/mlgjm/OneDrive/Desktop/GameWebsite/outputs/qa-recovery-v2/QA_Evidence/orbit-reload-session-profile.txt; C:/Users/mlgjm/OneDrive/Desktop/GameWebsite/outputs/qa-recovery-v2/QA_Evidence/prod-orbit-score-reload.txt; C:/Users/mlgjm/OneDrive/Desktop/GameWebsite/outputs/qa-recovery-v2/QA_Evidence/prod-orbit-no-dev.txt; V3 journal: C:/Users/mlgjm/OneDrive/Desktop/GameWebsite/outputs/qa-finalization-v3/QA_FINALIZATION_V3_JOURNAL.json#SYS-006</x:v>
      </x:c>
      <x:c r="K14" s="48"/>
      <x:c r="L14" s="48" t="str">
        <x:v>V2-DEV</x:v>
      </x:c>
      <x:c r="M14" s="48" t="str">
        <x:v>Codex QA</x:v>
      </x:c>
      <x:c r="N14" s="58" t="n">
        <x:v>46301</x:v>
      </x:c>
      <x:c r="O14" s="55" t="str"/>
    </x:row>
    <x:row r="15" ht="76" customHeight="1">
      <x:c r="A15" s="42" t="str">
        <x:v>SYS-007</x:v>
      </x:c>
      <x:c r="B15" s="42" t="str">
        <x:v>LOCAL DEV</x:v>
      </x:c>
      <x:c r="C15" s="42" t="str">
        <x:v>P1 - Required</x:v>
      </x:c>
      <x:c r="D15" s="42" t="str">
        <x:v>Site storage denied</x:v>
      </x:c>
      <x:c r="E15" s="48" t="str">
        <x:v>Pass</x:v>
      </x:c>
      <x:c r="F15" s="48" t="str">
        <x:v>PREVIOUS RESULT: Blocked. HUMAN TEST REQUIRED: HUMAN TEST REQUIRED: deny local storage in a disposable browser profile and verify graceful fallback.
NEW RESULT: NOT_EXECUTED; ENVIRONMENT_BLOCKED.
REASON: Storage denial requires unavailable browser permission/profile controls; no supported deny-storage capability in current IAB.
SCOPE: Available capability inventory and UI fixture audit
V3: Blocked [TOOL_LIMITATION]. Proven already: Storage denial requires unavailable browser permission/profile controls; no supported deny-storage capability in current IAB.
Remaining: Required assertions not yet fully verified: Site renders with safe fallback; no blank application or unhandled exception. Procedure: In disposable test context deny storage then reload home/theme/reactions.
Specific reason: Storage denial requires unavailable browser permission/profile controls; no supported deny-storage capability in current IAB.
Attempted this run: no. Owner: Engineer. Next step: Establish the specific required fixture/tool/runtime, then Human tester executes: Required assertions not yet fully verified: Site renders with safe fallback; no blank application or unhandled exception. Procedure: In disposable test context deny storage then reload home/theme/reactions.
Session: S02; scope: Available capability inventory and UI fixture audit. See QA_FINALIZATION_V3_JOURNAL.json#SYS-007 and HANDOFF_AND_FIX_QUEUE.md.
FINAL AI 4B.2 (2026-10-07): BLOCKED — HUMAN TESTING REQUIRED [ENGINEERING_ACCESS].
Why AI did not finish: The required isolated profile, controlled storage fixture, cache-disable/deployment inspection or attributed console/network surface is unavailable. One capability inventory/readiness check was sufficient; no repeated unsupported attempts.
AI already proved: No complete independent evidence for the remaining assertions; historical observations remain in the workbook.
Remaining: Site renders with safe fallback; no blank application or unhandled exception. Procedure: In disposable test context deny storage then reload home/theme/reactions.
Human action (HQA-11): 1. Use LOCAL DEV; Engineer with disposable native browser profiles and controlled storage fixtures; never ordinary personal origin data. 2. Browser-specific denial steps; mark Blocked if unavailable. 3. Execute only the remaining assertion: Site renders with safe fallback; no blank application or unhandled exception. Procedure: In disposable test context deny storage then reload home/theme/reactions.
Expected: Site renders with safe fallback; no blank application or unhandled exception.
Capture: Pass/Fail per ID, screenshot or timestamped video/state snapshot, device/OS/browser versions, viewport/zoom/DPR and a note; compare prior evidence instead of repeating proven subassertions.
Session/evidence: S18; Historical evidence retained; no fresh case execution claimed. Full grouped instructions: HUMAN_QA_FINAL.md#hqa-11.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15" s="42" t="str">
        <x:v>Browser-specific denial steps; mark Blocked if unavailable.</x:v>
      </x:c>
      <x:c r="H15" s="42" t="str">
        <x:v>In disposable test context deny storage then reload home/theme/reactions.</x:v>
      </x:c>
      <x:c r="I15" s="42" t="str">
        <x:v>Site renders with safe fallback; no blank application or unhandled exception.</x:v>
      </x:c>
      <x:c r="J15" s="48" t="str">
        <x:v>C:/Users/mlgjm/OneDrive/Desktop/GameWebsite/outputs/qa-recovery-v2/QA_Evidence/capability-blockers.json; historical: C:/Users/mlgjm/OneDrive/Desktop/GameWebsite/outputs/qa-20261006/QA_Evidence/notes/browser-observations.md; V3 journal: C:/Users/mlgjm/OneDrive/Desktop/GameWebsite/outputs/qa-finalization-v3/QA_FINALIZATION_V3_JOURNAL.json#SYS-007
Human QA completion statement, 2026-10-07; prior AI evidence retained.</x:v>
      </x:c>
      <x:c r="K15" s="48" t="str">
        <x:v>ENV-STORAGE-FIXTURE</x:v>
      </x:c>
      <x:c r="L15" s="48" t="str">
        <x:v>S20</x:v>
      </x:c>
      <x:c r="M15" s="48" t="str">
        <x:v>Hristo</x:v>
      </x:c>
      <x:c r="N15" s="58" t="n">
        <x:v>46302</x:v>
      </x:c>
      <x:c r="O15" s="54" t="str"/>
    </x:row>
    <x:row r="16" ht="76" customHeight="1">
      <x:c r="A16" s="44" t="str">
        <x:v>SYS-008</x:v>
      </x:c>
      <x:c r="B16" s="44" t="str">
        <x:v>LOCAL DEV</x:v>
      </x:c>
      <x:c r="C16" s="44" t="str">
        <x:v>P1 - Required</x:v>
      </x:c>
      <x:c r="D16" s="44" t="str">
        <x:v>Site theme namespace migration</x:v>
      </x:c>
      <x:c r="E16" s="48" t="str">
        <x:v>Pass</x:v>
      </x:c>
      <x:c r="F16" s="48" t="str">
        <x:v>PREVIOUS RESULT: Blocked. HUMAN TEST REQUIRED: Legacy theme migration requires an isolated seeded local-storage profile.
NEW RESULT: NOT_EXECUTED; ENVIRONMENT_BLOCKED.
REASON: Site theme migration requires old-schema QA storage values; no existing UI seed control or supported isolated storage mutation API.
SCOPE: Available capability inventory and UI fixture audit
V3: Blocked [FIXTURE_UNAVAILABLE]. Proven already: Site theme migration requires old-schema QA storage values; no existing UI seed control or supported isolated storage mutation API.
Remaining: Required assertions not yet fully verified: Existing preference migrated once to site namespace; unrelated keys unchanged. Procedure: Seed a valid legacy theme preference in test storage, new preference absent; reload.
Specific reason: Site theme migration requires old-schema QA storage values; no existing UI seed control or supported isolated storage mutation API.
Attempted this run: no. Owner: Engineer. Next step: Establish the specific required fixture/tool/runtime, then Human tester executes: Required assertions not yet fully verified: Existing preference migrated once to site namespace; unrelated keys unchanged. Procedure: Seed a valid legacy theme preference in test storage, new preference absent; reload.
Session: S02; scope: Available capability inventory and UI fixture audit. See QA_FINALIZATION_V3_JOURNAL.json#SYS-008 and HANDOFF_AND_FIX_QUEUE.md.
FINAL AI 4B.2 (2026-10-07): BLOCKED — HUMAN TESTING REQUIRED [ENGINEERING_ACCESS].
Why AI did not finish: The required isolated profile, controlled storage fixture, cache-disable/deployment inspection or attributed console/network surface is unavailable. One capability inventory/readiness check was sufficient; no repeated unsupported attempts.
AI already proved: No complete independent evidence for the remaining assertions; historical observations remain in the workbook.
Remaining: Existing preference migrated once to site namespace; unrelated keys unchanged. Procedure: Seed a valid legacy theme preference in test storage, new preference absent; reload.
Human action (HQA-11): 1. Use LOCAL DEV; Engineer with disposable native browser profiles and controlled storage fixtures; never ordinary personal origin data. 2. Developer-assisted; backup first. 3. Execute only the remaining assertion: Existing preference migrated once to site namespace; unrelated keys unchanged. Procedure: Seed a valid legacy theme preference in test storage, new preference absent; reload.
Expected: Existing preference migrated once to site namespace; unrelated keys unchanged.
Capture: Pass/Fail per ID, screenshot or timestamped video/state snapshot, device/OS/browser versions, viewport/zoom/DPR and a note; compare prior evidence instead of repeating proven subassertions.
Session/evidence: S18; Historical evidence retained; no fresh case execution claimed. Full grouped instructions: HUMAN_QA_FINAL.md#hqa-11.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16" s="44" t="str">
        <x:v>Developer-assisted; backup first.</x:v>
      </x:c>
      <x:c r="H16" s="44" t="str">
        <x:v>Seed a valid legacy theme preference in test storage, new preference absent; reload.</x:v>
      </x:c>
      <x:c r="I16" s="44" t="str">
        <x:v>Existing preference migrated once to site namespace; unrelated keys unchanged.</x:v>
      </x:c>
      <x:c r="J16" s="48" t="str">
        <x:v>C:/Users/mlgjm/OneDrive/Desktop/GameWebsite/outputs/qa-recovery-v2/QA_Evidence/capability-blockers.json; historical: C:/Users/mlgjm/OneDrive/Desktop/GameWebsite/outputs/qa-20261006/QA_Evidence/notes/browser-observations.md; V3 journal: C:/Users/mlgjm/OneDrive/Desktop/GameWebsite/outputs/qa-finalization-v3/QA_FINALIZATION_V3_JOURNAL.json#SYS-008
Human QA completion statement, 2026-10-07; prior AI evidence retained.</x:v>
      </x:c>
      <x:c r="K16" s="48" t="str">
        <x:v>ENV-STORAGE-FIXTURE</x:v>
      </x:c>
      <x:c r="L16" s="48" t="str">
        <x:v>S20</x:v>
      </x:c>
      <x:c r="M16" s="48" t="str">
        <x:v>Hristo</x:v>
      </x:c>
      <x:c r="N16" s="58" t="n">
        <x:v>46302</x:v>
      </x:c>
      <x:c r="O16" s="55" t="str"/>
    </x:row>
    <x:row r="17" ht="76" customHeight="1">
      <x:c r="A17" s="42" t="str">
        <x:v>SYS-009</x:v>
      </x:c>
      <x:c r="B17" s="42" t="str">
        <x:v>LOCAL DEV</x:v>
      </x:c>
      <x:c r="C17" s="42" t="str">
        <x:v>P1 - Required</x:v>
      </x:c>
      <x:c r="D17" s="42" t="str">
        <x:v>Orbit legacy best migration</x:v>
      </x:c>
      <x:c r="E17" s="48" t="str">
        <x:v>Pass</x:v>
      </x:c>
      <x:c r="F17" s="48" t="str">
        <x:v>PREVIOUS RESULT: Blocked. HUMAN TEST REQUIRED: Legacy Orbit best migration requires isolated game storage; do not edit the existing local best/run history.
NEW RESULT: NOT_EXECUTED; ENVIRONMENT_BLOCKED.
REASON: Orbit legacy-best migration requires obsolete-key seeded profile; no existing UI fixture to seed it.
SCOPE: Available capability inventory and UI fixture audit
V3: Blocked [FIXTURE_UNAVAILABLE]. Proven already: Orbit legacy-best migration requires obsolete-key seeded profile; no existing UI fixture to seed it.
Remaining: Required assertions not yet fully verified: Best migrates into current profile without loss; no crash. Procedure: In disposable game storage seed legacy orbitBreak.bestScore, new profile absent; reload.
Specific reason: Orbit legacy-best migration requires obsolete-key seeded profile; no existing UI fixture to seed it.
Attempted this run: no. Owner: Engineer. Next step: Establish the specific required fixture/tool/runtime, then Human tester executes: Required assertions not yet fully verified: Best migrates into current profile without loss; no crash. Procedure: In disposable game storage seed legacy orbitBreak.bestScore, new profile absent; reload.
Session: S02; scope: Available capability inventory and UI fixture audit. See QA_FINALIZATION_V3_JOURNAL.json#SYS-009 and HANDOFF_AND_FIX_QUEUE.md.
4B.1 retest record (2026-10-06): QA-only legacy fixture explicitly replaced the QA profile and set legacy best 420. Reload showed BEST 000420 and zero current score; no crash.
Retained prior verified evidence — not rerun in Final AI pass.</x:v>
      </x:c>
      <x:c r="G17" s="42" t="str">
        <x:v>Do not edit personal live storage.</x:v>
      </x:c>
      <x:c r="H17" s="42" t="str">
        <x:v>In disposable game storage seed legacy orbitBreak.bestScore, new profile absent; reload.</x:v>
      </x:c>
      <x:c r="I17" s="42" t="str">
        <x:v>Best migrates into current profile without loss; no crash.</x:v>
      </x:c>
      <x:c r="J17" s="48" t="str">
        <x:v>C:/Users/mlgjm/OneDrive/Desktop/GameWebsite/outputs/qa-recovery-v2/QA_Evidence/capability-blockers.json; historical: C:/Users/mlgjm/OneDrive/Desktop/GameWebsite/outputs/qa-20261006/QA_Evidence/notes/browser-observations.md; V3 journal: C:/Users/mlgjm/OneDrive/Desktop/GameWebsite/outputs/qa-finalization-v3/QA_FINALIZATION_V3_JOURNAL.json#SYS-009; browser-observations.json#SYS-009</x:v>
      </x:c>
      <x:c r="K17" s="48" t="str">
        <x:v>ENV-STORAGE-FIXTURE</x:v>
      </x:c>
      <x:c r="L17" s="48" t="str">
        <x:v>S14</x:v>
      </x:c>
      <x:c r="M17" s="48" t="str">
        <x:v>Codex QA</x:v>
      </x:c>
      <x:c r="N17" s="58" t="n">
        <x:v>46301</x:v>
      </x:c>
      <x:c r="O17" s="54" t="str"/>
    </x:row>
    <x:row r="18" ht="76" customHeight="1">
      <x:c r="A18" s="44" t="str">
        <x:v>SYS-010</x:v>
      </x:c>
      <x:c r="B18" s="44" t="str">
        <x:v>LOCAL DEV</x:v>
      </x:c>
      <x:c r="C18" s="44" t="str">
        <x:v>P1 - Required</x:v>
      </x:c>
      <x:c r="D18" s="44" t="str">
        <x:v>Orbit corruption and storage fallback</x:v>
      </x:c>
      <x:c r="E18" s="48" t="str">
        <x:v>Pass</x:v>
      </x:c>
      <x:c r="F18" s="48" t="str">
        <x:v>PREVIOUS RESULT: Blocked. HUMAN TEST REQUIRED: Corrupt-storage fallback requires a backed-up disposable Orbit profile.
NEW RESULT: NOT_EXECUTED; ENVIRONMENT_BLOCKED.
REASON: Malformed/denied Orbit storage requires corrupt isolated storage fixture or permission controls unavailable in IAB.
SCOPE: Available capability inventory and UI fixture audit
V3: Blocked [FIXTURE_UNAVAILABLE]. Proven already: Malformed/denied Orbit storage requires corrupt isolated storage fixture or permission controls unavailable in IAB.
Remaining: Required assertions not yet fully verified: Safe default/memory fallback; game remains playable. Record recoverable data loss scope honestly. Procedure: Back up test profile; use invalid JSON or restricted storage; reload.
Specific reason: Malformed/denied Orbit storage requires corrupt isolated storage fixture or permission controls unavailable in IAB.
Attempted this run: no. Owner: Engineer. Next step: Establish the specific required fixture/tool/runtime, then Human tester executes: Required assertions not yet fully verified: Safe default/memory fallback; game remains playable. Record recoverable data loss scope honestly. Procedure: Back up test profile; use invalid JSON or restricted storage; reload.
Session: S02; scope: Available capability inventory and UI fixture audit. See QA_FINALIZATION_V3_JOURNAL.json#SYS-010 and HANDOFF_AND_FIX_QUEUE.md.
4B.1 retest record (2026-10-06): QA-only corrupt fixture explicitly replaced QA profile with invalid JSON and legacy best 420. Reload recovered a default Orbit screen with BEST 000420; actual Play reached score 2 without a crash.
Retained prior verified evidence — not rerun in Final AI pass.</x:v>
      </x:c>
      <x:c r="G18" s="44" t="str">
        <x:v>Destructive QA only on disposable profile.</x:v>
      </x:c>
      <x:c r="H18" s="44" t="str">
        <x:v>Back up test profile; use invalid JSON or restricted storage; reload.</x:v>
      </x:c>
      <x:c r="I18" s="44" t="str">
        <x:v>Safe default/memory fallback; game remains playable. Record recoverable data loss scope honestly.</x:v>
      </x:c>
      <x:c r="J18" s="48" t="str">
        <x:v>C:/Users/mlgjm/OneDrive/Desktop/GameWebsite/outputs/qa-recovery-v2/QA_Evidence/capability-blockers.json; historical: C:/Users/mlgjm/OneDrive/Desktop/GameWebsite/outputs/qa-20261006/QA_Evidence/notes/browser-observations.md; V3 journal: C:/Users/mlgjm/OneDrive/Desktop/GameWebsite/outputs/qa-finalization-v3/QA_FINALIZATION_V3_JOURNAL.json#SYS-010; orbit-corrupt-recovered-best420.png; browser-observations.json#SYS-010</x:v>
      </x:c>
      <x:c r="K18" s="48" t="str">
        <x:v>ENV-STORAGE-FIXTURE</x:v>
      </x:c>
      <x:c r="L18" s="48" t="str">
        <x:v>S14</x:v>
      </x:c>
      <x:c r="M18" s="48" t="str">
        <x:v>Codex QA</x:v>
      </x:c>
      <x:c r="N18" s="58" t="n">
        <x:v>46301</x:v>
      </x:c>
      <x:c r="O18" s="55" t="str"/>
    </x:row>
    <x:row r="19" ht="76" customHeight="1">
      <x:c r="A19" s="42" t="str">
        <x:v>SYS-011</x:v>
      </x:c>
      <x:c r="B19" s="42" t="str">
        <x:v>LOCAL DEV</x:v>
      </x:c>
      <x:c r="C19" s="42" t="str">
        <x:v>P1 - Required</x:v>
      </x:c>
      <x:c r="D19" s="42" t="str">
        <x:v>Reactor storage fallback</x:v>
      </x:c>
      <x:c r="E19" s="48" t="str">
        <x:v>Pass</x:v>
      </x:c>
      <x:c r="F19" s="48" t="str">
        <x:v>PREVIOUS RESULT: Blocked. HUMAN TEST REQUIRED: Corrupt/denied Reactor score storage requires a disposable profile and deterministic board.
NEW RESULT: NOT_EXECUTED; ENVIRONMENT_BLOCKED.
REASON: Reactor denied-storage fallback needs permission/profile controls unavailable in IAB.
SCOPE: Available capability inventory and UI fixture audit
V3: Blocked [FIXTURE_UNAVAILABLE]. Proven already: Reactor denied-storage fallback needs permission/profile controls unavailable in IAB.
Remaining: Required assertions not yet fully verified: Usable fallback and no blank game; scores remain local; no active-run cloud restore claim. Procedure: Deny/corrupt only Reactor test score storage; reload and play.
Specific reason: Reactor denied-storage fallback needs permission/profile controls unavailable in IAB.
Attempted this run: no. Owner: Engineer. Next step: Establish the specific required fixture/tool/runtime, then Human tester executes: Required assertions not yet fully verified: Usable fallback and no blank game; scores remain local; no active-run cloud restore claim. Procedure: Deny/corrupt only Reactor test score storage; reload and play.
Session: S02; scope: Available capability inventory and UI fixture audit. See QA_FINALIZATION_V3_JOURNAL.json#SYS-011 and HANDOFF_AND_FIX_QUEUE.md.
FINAL AI 4B.2 (2026-10-07): BLOCKED — HUMAN TESTING REQUIRED [ENGINEERING_ACCESS].
Why AI did not finish: The required isolated profile, controlled storage fixture, cache-disable/deployment inspection or attributed console/network surface is unavailable. One capability inventory/readiness check was sufficient; no repeated unsupported attempts.
AI already proved: No complete independent evidence for the remaining assertions; historical observations remain in the workbook.
Remaining: Usable fallback and no blank game; scores remain local; no active-run cloud restore claim. Procedure: Deny/corrupt only Reactor test score storage; reload and play.
Human action (HQA-11): 1. Use LOCAL DEV; Engineer with disposable native browser profiles and controlled storage fixtures; never ordinary personal origin data. 2. Create a disposable QA/profile when changing saved state; launch qa:dev or qa:preview for the specified local environment and use the actual printed URL. 3. Execute only the remaining assertion: Usable fallback and no blank game; scores remain local; no active-run cloud restore claim. Procedure: Deny/corrupt only Reactor test score storage; reload and play.
Expected: Usable fallback and no blank game; scores remain local; no active-run cloud restore claim.
Capture: Pass/Fail per ID, screenshot or timestamped video/state snapshot, device/OS/browser versions, viewport/zoom/DPR and a note; compare prior evidence instead of repeating proven subassertions.
Session/evidence: S18; Historical evidence retained; no fresh case execution claimed. Full grouped instructions: HUMAN_QA_FINAL.md#hqa-11.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19" s="42"/>
      <x:c r="H19" s="42" t="str">
        <x:v>Deny/corrupt only Reactor test score storage; reload and play.</x:v>
      </x:c>
      <x:c r="I19" s="42" t="str">
        <x:v>Usable fallback and no blank game; scores remain local; no active-run cloud restore claim.</x:v>
      </x:c>
      <x:c r="J19" s="48" t="str">
        <x:v>C:/Users/mlgjm/OneDrive/Desktop/GameWebsite/outputs/qa-recovery-v2/QA_Evidence/capability-blockers.json; historical: C:/Users/mlgjm/OneDrive/Desktop/GameWebsite/outputs/qa-20261006/QA_Evidence/notes/browser-observations.md; V3 journal: C:/Users/mlgjm/OneDrive/Desktop/GameWebsite/outputs/qa-finalization-v3/QA_FINALIZATION_V3_JOURNAL.json#SYS-011
Human QA completion statement, 2026-10-07; prior AI evidence retained.</x:v>
      </x:c>
      <x:c r="K19" s="48" t="str">
        <x:v>ENV-STORAGE-FIXTURE</x:v>
      </x:c>
      <x:c r="L19" s="48" t="str">
        <x:v>S20</x:v>
      </x:c>
      <x:c r="M19" s="48" t="str">
        <x:v>Hristo</x:v>
      </x:c>
      <x:c r="N19" s="58" t="n">
        <x:v>46302</x:v>
      </x:c>
      <x:c r="O19" s="54" t="str"/>
    </x:row>
    <x:row r="20" ht="76" customHeight="1">
      <x:c r="A20" s="44" t="str">
        <x:v>SYS-012</x:v>
      </x:c>
      <x:c r="B20" s="44" t="str">
        <x:v>LOCAL DEV</x:v>
      </x:c>
      <x:c r="C20" s="44" t="str">
        <x:v>P0 - Critical</x:v>
      </x:c>
      <x:c r="D20" s="44" t="str">
        <x:v>DEV settings/log scopes</x:v>
      </x:c>
      <x:c r="E20" s="48" t="str">
        <x:v>Pass</x:v>
      </x:c>
      <x:c r="F20" s="48" t="str">
        <x:v>PREVIOUS RESULT: Blocked. HUMAN TEST REQUIRED: DEV settings/log persistence scopes require reload comparisons across isolated host/game storage.
NEW RESULT: PASS; COMPLETED.
REASON: Browser reload boundaries verified independently: global ad configuration persists while placement overrides reset (ADS-006 journey); Reactor tuning/logs reset while stored scores remain; Orbit tuning/snapshots reset while best/XP/Stars remain.
SCOPE: LOCAL DEV 5191
V3: Pass; retained V2 evidence, not rerun. 
Session: V2-DEV; scope: LOCAL DEV 5191. See QA_FINALIZATION_V3_JOURNAL.json#SYS-012 and HANDOFF_AND_FIX_QUEUE.md.
Retained prior verified evidence — not rerun in Final AI pass.</x:v>
      </x:c>
      <x:c r="G20" s="44"/>
      <x:c r="H20" s="44" t="str">
        <x:v>Save global ad config, change placement config, save game test logs; reload.</x:v>
      </x:c>
      <x:c r="I20" s="44" t="str">
        <x:v>Global ad config persists; placement overrides and game tuning/logs do not; explicit player-profile changes persist.</x:v>
      </x:c>
      <x:c r="J20" s="48" t="str">
        <x:v>C:/Users/mlgjm/OneDrive/Desktop/GameWebsite/outputs/qa-recovery-v2/QA_Evidence/orbit-reload-session-profile.txt; C:/Users/mlgjm/OneDrive/Desktop/GameWebsite/outputs/qa-recovery-v2/QA_Evidence/orbit-reload-run-defaults.txt; C:/Users/mlgjm/OneDrive/Desktop/GameWebsite/outputs/qa-recovery-v2/QA_Evidence/reactor-memory-scopes-before-reload.txt; C:/Users/mlgjm/OneDrive/Desktop/GameWebsite/outputs/qa-recovery-v2/QA_Evidence/reactor-memory-scopes-after-reload.txt; C:/Users/mlgjm/OneDrive/Desktop/GameWebsite/outputs/qa-recovery-v2/QA_Evidence/ad-global-placement-before-reload.txt; C:/Users/mlgjm/OneDrive/Desktop/GameWebsite/outputs/qa-recovery-v2/QA_Evidence/ad-global-placement-after-reload.txt; historical: C:/Users/mlgjm/OneDrive/Desktop/GameWebsite/outputs/qa-20261006/QA_Evidence/notes/browser-observations.md; V3 journal: C:/Users/mlgjm/OneDrive/Desktop/GameWebsite/outputs/qa-finalization-v3/QA_FINALIZATION_V3_JOURNAL.json#SYS-012</x:v>
      </x:c>
      <x:c r="K20" s="48"/>
      <x:c r="L20" s="48" t="str">
        <x:v>V2-DEV</x:v>
      </x:c>
      <x:c r="M20" s="48" t="str">
        <x:v>Codex QA</x:v>
      </x:c>
      <x:c r="N20" s="58" t="n">
        <x:v>46301</x:v>
      </x:c>
      <x:c r="O20" s="55" t="str"/>
    </x:row>
    <x:row r="21" ht="76" customHeight="1">
      <x:c r="A21" s="42" t="str">
        <x:v>SYS-013</x:v>
      </x:c>
      <x:c r="B21" s="42" t="str">
        <x:v>LOCAL DEV</x:v>
      </x:c>
      <x:c r="C21" s="42" t="str">
        <x:v>P0 - Critical</x:v>
      </x:c>
      <x:c r="D21" s="42" t="str">
        <x:v>Cross-game storage isolation</x:v>
      </x:c>
      <x:c r="E21" s="48" t="str">
        <x:v>Pass</x:v>
      </x:c>
      <x:c r="F21" s="48" t="str">
        <x:v>PREVIOUS RESULT: Blocked. HUMAN TEST REQUIRED: Cross-game reset isolation requires disposable profile data and reset actions; preserve existing game history.
NEW RESULT: NOT_EXECUTED; RUNNABLE.
REASON: Existing evidence needs a targeted comparison against all expected assertions; no V2 browser execution yet.
SCOPE: Historical evidence only; V2 not executed
V3: Blocked [TOOL_LIMITATION]. Proven already: No complete direct evidence; earlier notes retained above.
Remaining: Required assertions not yet fully verified: No unrelated game/site data deletion; every destructive reset scope matches its label. Procedure: Reset only Reactor scores in test profile then inspect Orbit; repeat scoped Orbit reset.
Specific reason: Known native confirmation is inaccessible to documented dialog tools. Do not re-enter or confirm deletion to recover automation; arrange supported Cancel and isolated backed-up manual reset testing.
Attempted this run: no. Owner: Engineer. Next step: Establish the specific required fixture/tool/runtime, then Human tester executes: Required assertions not yet fully verified: No unrelated game/site data deletion; every destructive reset scope matches its label. Procedure: Reset only Reactor scores in test profile then inspect Orbit; repeat scoped Orbit reset.
Session: S02; scope: Historical evidence only; V2 not executed. See QA_FINALIZATION_V3_JOURNAL.json#SYS-013 and HANDOFF_AND_FIX_QUEUE.md.
4B.1 retest record (2026-10-06): After scoped Reactor score/session-log reset in QA namespace, navigating to Orbit still showed its QA BEST 420. Cross-game preservation observed in this direction only; Orbit reset and reverse-direction/site checks not run.
FINAL AI 4B.2 (2026-10-07): Pass. QA namespace2cfa only: Reactor ClearScores3→0 with RAM1 retained; Orbit best2214/level1/stars0 unchanged. Created Reactor score100 sentinel, scoped Orbit profile reset3/100→1/0 preservingbest2214 then Orbit scores resetbest0. Reactor reload still Best100/StoredRuns1; site theme light remained and DEV controls present. No unrelated deletion.
Session/evidence: S18; QA_Evidence/observations.json.</x:v>
      </x:c>
      <x:c r="G21" s="42" t="str">
        <x:v>Backup/disposable data.</x:v>
      </x:c>
      <x:c r="H21" s="42" t="str">
        <x:v>Reset only Reactor scores in test profile then inspect Orbit; repeat scoped Orbit reset.</x:v>
      </x:c>
      <x:c r="I21" s="42" t="str">
        <x:v>No unrelated game/site data deletion; every destructive reset scope matches its label.</x:v>
      </x:c>
      <x:c r="J21" s="48" t="str">
        <x:v>C:/Users/mlgjm/OneDrive/Desktop/GameWebsite/outputs/qa-20261006/QA_Evidence/notes/browser-observations.md; V3 journal: C:/Users/mlgjm/OneDrive/Desktop/GameWebsite/outputs/qa-finalization-v3/QA_FINALIZATION_V3_JOURNAL.json#SYS-013; orbit-corrupt-recovered-best420.png; browser-observations.json#SYS-013; FINAL AI: C:/Users/mlgjm/OneDrive/Desktop/GameWebsite/outputs/qa-final-ai/2026-10-07_000739/QA_Evidence/observations.json</x:v>
      </x:c>
      <x:c r="K21" s="48"/>
      <x:c r="L21" s="48" t="str">
        <x:v>S18</x:v>
      </x:c>
      <x:c r="M21" s="48" t="str">
        <x:v>Codex Final AI QA</x:v>
      </x:c>
      <x:c r="N21" s="58" t="n">
        <x:v>46301.8803125</x:v>
      </x:c>
      <x:c r="O21" s="54" t="str"/>
    </x:row>
    <x:row r="22" ht="76" customHeight="1">
      <x:c r="A22" s="44" t="str">
        <x:v>SYS-014</x:v>
      </x:c>
      <x:c r="B22" s="44" t="str">
        <x:v>LOCAL DEV</x:v>
      </x:c>
      <x:c r="C22" s="44" t="str">
        <x:v>P0 - Critical</x:v>
      </x:c>
      <x:c r="D22" s="44" t="str">
        <x:v>Completed-run exactly-once persistence</x:v>
      </x:c>
      <x:c r="E22" s="48" t="str">
        <x:v>Pass</x:v>
      </x:c>
      <x:c r="F22" s="48" t="str">
        <x:v>PREVIOUS RESULT: Blocked. HUMAN TEST REQUIRED: Exactly-once completed-run persistence requires game-owned rewarded flows in both games; Reactor host renderer is disconnected.
NEW RESULT: PASS; COMPLETED.
REASON: Actual Orbit qualified revive retained best0/no completed record until permanent second death; afterward exactly one427 score and runs quest1/3. Actual Reactor qualified Upgrade refill/manual use then legal terminal move exported exactly one FAIL session with distinct grant/use counts. Passed internal profile/stale/duplicate guards are separately cited; no extra completed run from ad receipt.
SCOPE: LOCAL DEV real rewarded/terminal journeys + deterministic exactly-once guards
V3: Pass; retained V2 evidence, not rerun. 
Session: V2-DEV; scope: LOCAL DEV real rewarded/terminal journeys + deterministic exactly-once guards. See QA_FINALIZATION_V3_JOURNAL.json#SYS-014 and HANDOFF_AND_FIX_QUEUE.md.
Retained prior verified evidence — not rerun in Final AI pass.</x:v>
      </x:c>
      <x:c r="G22" s="44"/>
      <x:c r="H22" s="44" t="str">
        <x:v>Use actual rewarded flow in each game then terminal/restart; inspect scores/logs.</x:v>
      </x:c>
      <x:c r="I22" s="44" t="str">
        <x:v>Ads/refills/revive do not record extra completed runs. Permanent terminal records once.</x:v>
      </x:c>
      <x:c r="J22" s="48" t="str">
        <x:v>C:/Users/mlgjm/OneDrive/Desktop/GameWebsite/outputs/qa-recovery-v2/QA_Evidence/orbit-revive-completed-host.txt; C:/Users/mlgjm/OneDrive/Desktop/GameWebsite/outputs/qa-recovery-v2/QA_Evidence/orbit-single-score-after-revive.txt; C:/Users/mlgjm/OneDrive/Desktop/GameWebsite/outputs/qa-recovery-v2/QA_Evidence/orbit-quest-after-terminal.txt; C:/Users/mlgjm/OneDrive/Desktop/GameWebsite/outputs/qa-recovery-v2/QA_Evidence/reactor-session-export.json; C:/Users/mlgjm/OneDrive/Desktop/GameWebsite/outputs/qa-recovery-v2/QA_Evidence/test-orbit-ads.log; C:/Users/mlgjm/OneDrive/Desktop/GameWebsite/outputs/qa-recovery-v2/QA_Evidence/test-reactor-ads.log; historical: C:/Users/mlgjm/OneDrive/Desktop/GameWebsite/outputs/qa-20261006/QA_Evidence/notes/browser-observations.md; V3 journal: C:/Users/mlgjm/OneDrive/Desktop/GameWebsite/outputs/qa-finalization-v3/QA_FINALIZATION_V3_JOURNAL.json#SYS-014</x:v>
      </x:c>
      <x:c r="K22" s="48"/>
      <x:c r="L22" s="48" t="str">
        <x:v>V2-DEV</x:v>
      </x:c>
      <x:c r="M22" s="48" t="str">
        <x:v>Codex QA</x:v>
      </x:c>
      <x:c r="N22" s="58" t="n">
        <x:v>46301</x:v>
      </x:c>
      <x:c r="O22" s="55" t="str"/>
    </x:row>
    <x:row r="23" ht="76" customHeight="1">
      <x:c r="A23" s="42" t="str">
        <x:v>SYS-015</x:v>
      </x:c>
      <x:c r="B23" s="42" t="str">
        <x:v>LOCAL DEV</x:v>
      </x:c>
      <x:c r="C23" s="42" t="str">
        <x:v>P1 - Required</x:v>
      </x:c>
      <x:c r="D23" s="42" t="str">
        <x:v>Export files really valid</x:v>
      </x:c>
      <x:c r="E23" s="48" t="str">
        <x:v>Pass</x:v>
      </x:c>
      <x:c r="F23" s="48" t="str">
        <x:v>PREVIOUS RESULT: Blocked. HUMAN / ENVIRONMENT FOLLOW-UP REQUIRED: Clicked Export All JSON and Export All CSV in Orbit Session Log; a downloaded artifact was not available to inspect in this browser session, so file validity remains unverified. Remaining acceptance criteria were not established in this browser session; complete on the specified supported device/profile or with the missing deterministic setup, then update from direct evidence.
NEW RESULT: PASS; COMPLETED.
REASON: Actual downloaded Orbit ALL/CURRENT JSON and CSV plus Reactor session JSON/CSV opened and validated. CSV escaping, required context, deltas and run fields match actual records; no inferred export success.
SCOPE: LOCAL DEV 5191 — actual downloaded files
V3: Pass; retained V2 evidence, not rerun. 
Session: V2-DEV; scope: LOCAL DEV 5191 — actual downloaded files. See QA_FINALIZATION_V3_JOURNAL.json#SYS-015 and HANDOFF_AND_FIX_QUEUE.md.
Retained prior verified evidence — not rerun in Final AI pass.</x:v>
      </x:c>
      <x:c r="G23" s="42" t="str">
        <x:v>Do not pass merely because download button fired.</x:v>
      </x:c>
      <x:c r="H23" s="42" t="str">
        <x:v>Open every JSON/CSV export from Orbit and Reactor in text editor/spreadsheet.</x:v>
      </x:c>
      <x:c r="I23" s="42" t="str">
        <x:v>Files not empty; parseable JSON; names/notes/deltas/counters accurate; quotes/commas handled.</x:v>
      </x:c>
      <x:c r="J23" s="48" t="str">
        <x:v>C:/Users/mlgjm/OneDrive/Desktop/GameWebsite/outputs/qa-recovery-v2/QA_Evidence/all-export-validation.json; C:/Users/mlgjm/OneDrive/Desktop/GameWebsite/outputs/qa-recovery-v2/QA_Evidence/orbit-all-export.json; C:/Users/mlgjm/OneDrive/Desktop/GameWebsite/outputs/qa-recovery-v2/QA_Evidence/orbit-all-export.csv; C:/Users/mlgjm/OneDrive/Desktop/GameWebsite/outputs/qa-recovery-v2/QA_Evidence/orbit-current-export.json; C:/Users/mlgjm/OneDrive/Desktop/GameWebsite/outputs/qa-recovery-v2/QA_Evidence/orbit-current-export.csv; C:/Users/mlgjm/OneDrive/Desktop/GameWebsite/outputs/qa-recovery-v2/QA_Evidence/reactor-session-export.json; C:/Users/mlgjm/OneDrive/Desktop/GameWebsite/outputs/qa-recovery-v2/QA_Evidence/reactor-session-export.csv; historical: C:/Users/mlgjm/OneDrive/Desktop/GameWebsite/outputs/qa-20261006/QA_Evidence/notes/browser-observations.md; V3 journal: C:/Users/mlgjm/OneDrive/Desktop/GameWebsite/outputs/qa-finalization-v3/QA_FINALIZATION_V3_JOURNAL.json#SYS-015</x:v>
      </x:c>
      <x:c r="K23" s="48"/>
      <x:c r="L23" s="48" t="str">
        <x:v>V2-DEV</x:v>
      </x:c>
      <x:c r="M23" s="48" t="str">
        <x:v>Codex QA</x:v>
      </x:c>
      <x:c r="N23" s="58" t="n">
        <x:v>46301</x:v>
      </x:c>
      <x:c r="O23" s="54" t="str"/>
    </x:row>
    <x:row r="24" ht="76" customHeight="1">
      <x:c r="A24" s="44" t="str">
        <x:v>SYS-016</x:v>
      </x:c>
      <x:c r="B24" s="44" t="str">
        <x:v>LOCAL / TERMINAL</x:v>
      </x:c>
      <x:c r="C24" s="44" t="str">
        <x:v>P0 - Critical</x:v>
      </x:c>
      <x:c r="D24" s="44" t="str">
        <x:v>Bridge validation regression</x:v>
      </x:c>
      <x:c r="E24" s="48" t="str">
        <x:v>Pass</x:v>
      </x:c>
      <x:c r="F24" s="48" t="str">
        <x:v>PREVIOUS RESULT: Pass. npm run test:ads, test:orbit-ads and test:reactor-ads passed (47, 58 and 66 tests); includes bridge identity/shape/duplicate/stale validation cases.
NEW RESULT: PASS; COMPLETED.
REASON: 47 shared ads,58 Orbit ads and66 Reactor ads tests pass including bridge identity/order/duplicate/stale validation. No forged browser production traffic used.
SCOPE: AUTOMATED
V3: Pass; retained V2 evidence, not rerun. 
Session: V2-TERM; scope: AUTOMATED. See QA_FINALIZATION_V3_JOURNAL.json#SYS-016 and HANDOFF_AND_FIX_QUEUE.md.
Retained prior verified evidence — not rerun in Final AI pass.</x:v>
      </x:c>
      <x:c r="G24" s="44" t="str">
        <x:v>Automated/developer-assisted.</x:v>
      </x:c>
      <x:c r="H24" s="44" t="str">
        <x:v>Run ad integration suites; review wrong-origin/source/shape, duplicate and stale result cases.</x:v>
      </x:c>
      <x:c r="I24" s="44" t="str">
        <x:v>Existing validation/identity/order checks pass; no manual forged production traffic required.</x:v>
      </x:c>
      <x:c r="J24" s="48" t="str">
        <x:v>C:/Users/mlgjm/OneDrive/Desktop/GameWebsite/outputs/qa-recovery-v2/QA_Evidence/test-ads.log; C:/Users/mlgjm/OneDrive/Desktop/GameWebsite/outputs/qa-recovery-v2/QA_Evidence/test-orbit-ads.log; C:/Users/mlgjm/OneDrive/Desktop/GameWebsite/outputs/qa-recovery-v2/QA_Evidence/test-reactor-ads.log; historical: C:/Users/mlgjm/OneDrive/Desktop/GameWebsite/outputs/qa-20261006/QA_Evidence/notes/automated-results.md; V3 journal: C:/Users/mlgjm/OneDrive/Desktop/GameWebsite/outputs/qa-finalization-v3/QA_FINALIZATION_V3_JOURNAL.json#SYS-016</x:v>
      </x:c>
      <x:c r="K24" s="48"/>
      <x:c r="L24" s="48" t="str">
        <x:v>V2-TERM</x:v>
      </x:c>
      <x:c r="M24" s="48" t="str">
        <x:v>Codex QA</x:v>
      </x:c>
      <x:c r="N24" s="58" t="n">
        <x:v>46301</x:v>
      </x:c>
      <x:c r="O24" s="55" t="str"/>
    </x:row>
    <x:row r="25" ht="76" customHeight="1">
      <x:c r="A25" s="42" t="str">
        <x:v>SYS-017</x:v>
      </x:c>
      <x:c r="B25" s="42" t="str">
        <x:v>LOCAL / TERMINAL</x:v>
      </x:c>
      <x:c r="C25" s="42" t="str">
        <x:v>P1 - Required</x:v>
      </x:c>
      <x:c r="D25" s="42" t="str">
        <x:v>Cap regression beyond old limits</x:v>
      </x:c>
      <x:c r="E25" s="48" t="str">
        <x:v>Pass</x:v>
      </x:c>
      <x:c r="F25" s="48" t="str">
        <x:v>PREVIOUS RESULT: Pass. npm run test:ads passed its finite/unlimited cap suite; no 101 manual ad requests were run.
NEW RESULT: PASS; COMPLETED.
REASON: Deterministic shared suite passes unlimited beyond old caps and finite zero/placement/global limits while retaining history; safety budget independent.
SCOPE: AUTOMATED
V3: Pass; retained V2 evidence, not rerun. 
Session: V2-TERM; scope: AUTOMATED. See QA_FINALIZATION_V3_JOURNAL.json#SYS-017 and HANDOFF_AND_FIX_QUEUE.md.
Retained prior verified evidence — not rerun in Final AI pass.</x:v>
      </x:c>
      <x:c r="G25" s="42" t="str">
        <x:v>Automated tests, not 101 manual ads.</x:v>
      </x:c>
      <x:c r="H25" s="42" t="str">
        <x:v>Run test:ads including virtual-time unlimited/finite tests; review &gt;3 and &gt;100 limits.</x:v>
      </x:c>
      <x:c r="I25" s="42" t="str">
        <x:v>Unlimited policy not secretly capped at old values; finite zero/caps still work. 2000-request safety budget is separate.</x:v>
      </x:c>
      <x:c r="J25" s="48" t="str">
        <x:v>C:/Users/mlgjm/OneDrive/Desktop/GameWebsite/outputs/qa-recovery-v2/QA_Evidence/test-ads.log; historical: C:/Users/mlgjm/OneDrive/Desktop/GameWebsite/outputs/qa-20261006/QA_Evidence/notes/automated-results.md; V3 journal: C:/Users/mlgjm/OneDrive/Desktop/GameWebsite/outputs/qa-finalization-v3/QA_FINALIZATION_V3_JOURNAL.json#SYS-017</x:v>
      </x:c>
      <x:c r="K25" s="48"/>
      <x:c r="L25" s="48" t="str">
        <x:v>V2-TERM</x:v>
      </x:c>
      <x:c r="M25" s="48" t="str">
        <x:v>Codex QA</x:v>
      </x:c>
      <x:c r="N25" s="58" t="n">
        <x:v>46301</x:v>
      </x:c>
      <x:c r="O25" s="54" t="str"/>
    </x:row>
    <x:row r="26" ht="76" customHeight="1">
      <x:c r="A26" s="44" t="str">
        <x:v>SYS-018</x:v>
      </x:c>
      <x:c r="B26" s="44" t="str">
        <x:v>LOCAL / TERMINAL</x:v>
      </x:c>
      <x:c r="C26" s="44" t="str">
        <x:v>P0 - Critical</x:v>
      </x:c>
      <x:c r="D26" s="44" t="str">
        <x:v>npm run check</x:v>
      </x:c>
      <x:c r="E26" s="48" t="str">
        <x:v>Pass</x:v>
      </x:c>
      <x:c r="F26" s="48" t="str">
        <x:v>PREVIOUS RESULT: Pass. npm run check passed TypeScript and game checks.
NEW RESULT: PASS; COMPLETED.
REASON: TypeScript and all game checks pass, exit 0.
SCOPE: AUTOMATED
V3: Pass; retained V2 evidence, not rerun. 
Session: V2-TERM; scope: AUTOMATED. See QA_FINALIZATION_V3_JOURNAL.json#SYS-018 and HANDOFF_AND_FIX_QUEUE.md.
Retained prior verified evidence — not rerun in Final AI pass.</x:v>
      </x:c>
      <x:c r="G26" s="44"/>
      <x:c r="H26" s="44" t="str">
        <x:v>Run npm.cmd run check; save exit result/output.</x:v>
      </x:c>
      <x:c r="I26" s="44" t="str">
        <x:v>Portal and all game TypeScript checks pass; failures linked to bug log.</x:v>
      </x:c>
      <x:c r="J26" s="48" t="str">
        <x:v>C:/Users/mlgjm/OneDrive/Desktop/GameWebsite/outputs/qa-recovery-v2/QA_Evidence/check.log; historical: C:/Users/mlgjm/OneDrive/Desktop/GameWebsite/outputs/qa-20261006/QA_Evidence/notes/automated-results.md; V3 journal: C:/Users/mlgjm/OneDrive/Desktop/GameWebsite/outputs/qa-finalization-v3/QA_FINALIZATION_V3_JOURNAL.json#SYS-018</x:v>
      </x:c>
      <x:c r="K26" s="48"/>
      <x:c r="L26" s="48" t="str">
        <x:v>V2-TERM</x:v>
      </x:c>
      <x:c r="M26" s="48" t="str">
        <x:v>Codex QA</x:v>
      </x:c>
      <x:c r="N26" s="58" t="n">
        <x:v>46301</x:v>
      </x:c>
      <x:c r="O26" s="55" t="str"/>
    </x:row>
    <x:row r="27" ht="76" customHeight="1">
      <x:c r="A27" s="42" t="str">
        <x:v>SYS-019</x:v>
      </x:c>
      <x:c r="B27" s="42" t="str">
        <x:v>LOCAL / TERMINAL</x:v>
      </x:c>
      <x:c r="C27" s="42" t="str">
        <x:v>P0 - Critical</x:v>
      </x:c>
      <x:c r="D27" s="42" t="str">
        <x:v>Shared ad tests</x:v>
      </x:c>
      <x:c r="E27" s="48" t="str">
        <x:v>Pass</x:v>
      </x:c>
      <x:c r="F27" s="48" t="str">
        <x:v>PREVIOUS RESULT: Pass. npm run test:ads: 47 passed, 0 failed.
NEW RESULT: PASS; COMPLETED.
REASON: 47 shared ad tests pass, zero failures.
SCOPE: AUTOMATED
V3: Pass; retained V2 evidence, not rerun. 
Session: V2-TERM; scope: AUTOMATED. See QA_FINALIZATION_V3_JOURNAL.json#SYS-019 and HANDOFF_AND_FIX_QUEUE.md.
Retained prior verified evidence — not rerun in Final AI pass.</x:v>
      </x:c>
      <x:c r="G27" s="42"/>
      <x:c r="H27" s="42" t="str">
        <x:v>Run npm.cmd run test:ads.</x:v>
      </x:c>
      <x:c r="I27" s="42" t="str">
        <x:v>All pass; baseline handoff reported 47 tests, not a prefilled new QA result.</x:v>
      </x:c>
      <x:c r="J27" s="48" t="str">
        <x:v>C:/Users/mlgjm/OneDrive/Desktop/GameWebsite/outputs/qa-recovery-v2/QA_Evidence/test-ads.log; historical: C:/Users/mlgjm/OneDrive/Desktop/GameWebsite/outputs/qa-20261006/QA_Evidence/notes/automated-results.md; V3 journal: C:/Users/mlgjm/OneDrive/Desktop/GameWebsite/outputs/qa-finalization-v3/QA_FINALIZATION_V3_JOURNAL.json#SYS-019</x:v>
      </x:c>
      <x:c r="K27" s="48"/>
      <x:c r="L27" s="48" t="str">
        <x:v>V2-TERM</x:v>
      </x:c>
      <x:c r="M27" s="48" t="str">
        <x:v>Codex QA</x:v>
      </x:c>
      <x:c r="N27" s="58" t="n">
        <x:v>46301</x:v>
      </x:c>
      <x:c r="O27" s="54" t="str"/>
    </x:row>
    <x:row r="28" ht="76" customHeight="1">
      <x:c r="A28" s="44" t="str">
        <x:v>SYS-020</x:v>
      </x:c>
      <x:c r="B28" s="44" t="str">
        <x:v>LOCAL / TERMINAL</x:v>
      </x:c>
      <x:c r="C28" s="44" t="str">
        <x:v>P0 - Critical</x:v>
      </x:c>
      <x:c r="D28" s="44" t="str">
        <x:v>Orbit rules and ad tests</x:v>
      </x:c>
      <x:c r="E28" s="48" t="str">
        <x:v>Pass</x:v>
      </x:c>
      <x:c r="F28" s="48" t="str">
        <x:v>PREVIOUS RESULT: Pass. npm run test:orbit: 11 passed; npm run test:orbit-ads: 58 passed.
NEW RESULT: PASS; COMPLETED.
REASON: 11 Orbit rules and 58 Orbit ads tests pass.
SCOPE: AUTOMATED
V3: Pass; retained V2 evidence, not rerun. 
Session: V2-TERM; scope: AUTOMATED. See QA_FINALIZATION_V3_JOURNAL.json#SYS-020 and HANDOFF_AND_FIX_QUEUE.md.
Retained prior verified evidence — not rerun in Final AI pass.</x:v>
      </x:c>
      <x:c r="G28" s="44"/>
      <x:c r="H28" s="44" t="str">
        <x:v>Run npm.cmd run test:orbit and npm.cmd run test:orbit-ads.</x:v>
      </x:c>
      <x:c r="I28" s="44" t="str">
        <x:v>Both pass; baseline 11 + 58. Record current actual counts/output.</x:v>
      </x:c>
      <x:c r="J28" s="48" t="str">
        <x:v>C:/Users/mlgjm/OneDrive/Desktop/GameWebsite/outputs/qa-recovery-v2/QA_Evidence/test-orbit.log; C:/Users/mlgjm/OneDrive/Desktop/GameWebsite/outputs/qa-recovery-v2/QA_Evidence/test-orbit-ads.log; historical: C:/Users/mlgjm/OneDrive/Desktop/GameWebsite/outputs/qa-20261006/QA_Evidence/notes/automated-results.md; V3 journal: C:/Users/mlgjm/OneDrive/Desktop/GameWebsite/outputs/qa-finalization-v3/QA_FINALIZATION_V3_JOURNAL.json#SYS-020</x:v>
      </x:c>
      <x:c r="K28" s="48"/>
      <x:c r="L28" s="48" t="str">
        <x:v>V2-TERM</x:v>
      </x:c>
      <x:c r="M28" s="48" t="str">
        <x:v>Codex QA</x:v>
      </x:c>
      <x:c r="N28" s="58" t="n">
        <x:v>46301</x:v>
      </x:c>
      <x:c r="O28" s="55" t="str"/>
    </x:row>
    <x:row r="29" ht="76" customHeight="1">
      <x:c r="A29" s="42" t="str">
        <x:v>SYS-021</x:v>
      </x:c>
      <x:c r="B29" s="42" t="str">
        <x:v>LOCAL / TERMINAL</x:v>
      </x:c>
      <x:c r="C29" s="42" t="str">
        <x:v>P0 - Critical</x:v>
      </x:c>
      <x:c r="D29" s="42" t="str">
        <x:v>Reactor rules and ad tests</x:v>
      </x:c>
      <x:c r="E29" s="48" t="str">
        <x:v>Pass</x:v>
      </x:c>
      <x:c r="F29" s="48" t="str">
        <x:v>PREVIOUS RESULT: Pass. npm run test:reactor: 15 passed; npm run test:reactor-ads: 66 passed.
NEW RESULT: PASS; COMPLETED.
REASON: 15 Reactor rules and 66 Reactor ads tests pass.
SCOPE: AUTOMATED
V3: Pass; retained V2 evidence, not rerun. 
Session: V2-TERM; scope: AUTOMATED. See QA_FINALIZATION_V3_JOURNAL.json#SYS-021 and HANDOFF_AND_FIX_QUEUE.md.
Retained prior verified evidence — not rerun in Final AI pass.</x:v>
      </x:c>
      <x:c r="G29" s="42"/>
      <x:c r="H29" s="42" t="str">
        <x:v>Run npm.cmd run test:reactor and npm.cmd run test:reactor-ads.</x:v>
      </x:c>
      <x:c r="I29" s="42" t="str">
        <x:v>Both pass; baseline 15 + 66. Record current actual counts/output.</x:v>
      </x:c>
      <x:c r="J29" s="48" t="str">
        <x:v>C:/Users/mlgjm/OneDrive/Desktop/GameWebsite/outputs/qa-recovery-v2/QA_Evidence/test-reactor.log; C:/Users/mlgjm/OneDrive/Desktop/GameWebsite/outputs/qa-recovery-v2/QA_Evidence/test-reactor-ads.log; historical: C:/Users/mlgjm/OneDrive/Desktop/GameWebsite/outputs/qa-20261006/QA_Evidence/notes/automated-results.md; V3 journal: C:/Users/mlgjm/OneDrive/Desktop/GameWebsite/outputs/qa-finalization-v3/QA_FINALIZATION_V3_JOURNAL.json#SYS-021</x:v>
      </x:c>
      <x:c r="K29" s="48"/>
      <x:c r="L29" s="48" t="str">
        <x:v>V2-TERM</x:v>
      </x:c>
      <x:c r="M29" s="48" t="str">
        <x:v>Codex QA</x:v>
      </x:c>
      <x:c r="N29" s="58" t="n">
        <x:v>46301</x:v>
      </x:c>
      <x:c r="O29" s="54" t="str"/>
    </x:row>
    <x:row r="30" ht="76" customHeight="1">
      <x:c r="A30" s="44" t="str">
        <x:v>SYS-022</x:v>
      </x:c>
      <x:c r="B30" s="44" t="str">
        <x:v>LOCAL / TERMINAL</x:v>
      </x:c>
      <x:c r="C30" s="44" t="str">
        <x:v>P0 - Critical</x:v>
      </x:c>
      <x:c r="D30" s="44" t="str">
        <x:v>Portal tests</x:v>
      </x:c>
      <x:c r="E30" s="48" t="str">
        <x:v>Pass</x:v>
      </x:c>
      <x:c r="F30" s="48" t="str">
        <x:v>PREVIOUS RESULT: Pass. npm run test:portal: 4 passed, 0 failed.
NEW RESULT: PASS; COMPLETED.
REASON: 4 portal tests pass; no rendered browser assertions inferred.
SCOPE: AUTOMATED
V3: Pass; retained V2 evidence, not rerun. 
Session: V2-TERM; scope: AUTOMATED. See QA_FINALIZATION_V3_JOURNAL.json#SYS-022 and HANDOFF_AND_FIX_QUEUE.md.
Retained prior verified evidence — not rerun in Final AI pass.</x:v>
      </x:c>
      <x:c r="G30" s="44"/>
      <x:c r="H30" s="44" t="str">
        <x:v>Run npm.cmd run test:portal.</x:v>
      </x:c>
      <x:c r="I30" s="44" t="str">
        <x:v>Pass; baseline 4 tests. Do not treat this as rendered browser QA.</x:v>
      </x:c>
      <x:c r="J30" s="48" t="str">
        <x:v>C:/Users/mlgjm/OneDrive/Desktop/GameWebsite/outputs/qa-recovery-v2/QA_Evidence/test-portal.log; historical: C:/Users/mlgjm/OneDrive/Desktop/GameWebsite/outputs/qa-20261006/QA_Evidence/notes/automated-results.md; V3 journal: C:/Users/mlgjm/OneDrive/Desktop/GameWebsite/outputs/qa-finalization-v3/QA_FINALIZATION_V3_JOURNAL.json#SYS-022</x:v>
      </x:c>
      <x:c r="K30" s="48"/>
      <x:c r="L30" s="48" t="str">
        <x:v>V2-TERM</x:v>
      </x:c>
      <x:c r="M30" s="48" t="str">
        <x:v>Codex QA</x:v>
      </x:c>
      <x:c r="N30" s="58" t="n">
        <x:v>46301</x:v>
      </x:c>
      <x:c r="O30" s="55" t="str"/>
    </x:row>
    <x:row r="31" ht="76" customHeight="1">
      <x:c r="A31" s="42" t="str">
        <x:v>SYS-023</x:v>
      </x:c>
      <x:c r="B31" s="42" t="str">
        <x:v>LOCAL / TERMINAL</x:v>
      </x:c>
      <x:c r="C31" s="42" t="str">
        <x:v>P0 - Critical</x:v>
      </x:c>
      <x:c r="D31" s="42" t="str">
        <x:v>Production build and guard</x:v>
      </x:c>
      <x:c r="E31" s="48" t="str">
        <x:v>Pass</x:v>
      </x:c>
      <x:c r="F31" s="48" t="str">
        <x:v>PREVIOUS RESULT: Pass. npm run build and npm run verify:ads-production passed; 32 artifacts checked. Existing bundle-size warnings recorded in automated-results.md.
NEW RESULT: PASS; COMPLETED.
REASON: Build and 32-artifact production guard pass. Bundler warnings for game chunks above 500kB remain.
SCOPE: AUTOMATED
V3: Pass; retained V2 evidence, not rerun. 
Session: V2-TERM; scope: AUTOMATED. See QA_FINALIZATION_V3_JOURNAL.json#SYS-023 and HANDOFF_AND_FIX_QUEUE.md.
Retained prior verified evidence — not rerun in Final AI pass.</x:v>
      </x:c>
      <x:c r="G31" s="42"/>
      <x:c r="H31" s="42" t="str">
        <x:v>Run npm.cmd run build then npm.cmd run verify:ads-production.</x:v>
      </x:c>
      <x:c r="I31" s="42" t="str">
        <x:v>Build and mock/DEV leakage guard pass; baseline 32 artifacts. Existing Phaser warnings recorded, not hidden.</x:v>
      </x:c>
      <x:c r="J31" s="48" t="str">
        <x:v>C:/Users/mlgjm/OneDrive/Desktop/GameWebsite/outputs/qa-recovery-v2/QA_Evidence/build.log; C:/Users/mlgjm/OneDrive/Desktop/GameWebsite/outputs/qa-recovery-v2/QA_Evidence/verify-ads-production.log; historical: C:/Users/mlgjm/OneDrive/Desktop/GameWebsite/outputs/qa-20261006/QA_Evidence/notes/automated-results.md; V3 journal: C:/Users/mlgjm/OneDrive/Desktop/GameWebsite/outputs/qa-finalization-v3/QA_FINALIZATION_V3_JOURNAL.json#SYS-023</x:v>
      </x:c>
      <x:c r="K31" s="48"/>
      <x:c r="L31" s="48" t="str">
        <x:v>V2-TERM</x:v>
      </x:c>
      <x:c r="M31" s="48" t="str">
        <x:v>Codex QA</x:v>
      </x:c>
      <x:c r="N31" s="58" t="n">
        <x:v>46301</x:v>
      </x:c>
      <x:c r="O31" s="54" t="str"/>
    </x:row>
    <x:row r="32" ht="76" customHeight="1">
      <x:c r="A32" s="44" t="str">
        <x:v>SYS-024</x:v>
      </x:c>
      <x:c r="B32" s="44" t="str">
        <x:v>LOCAL / TERMINAL</x:v>
      </x:c>
      <x:c r="C32" s="44" t="str">
        <x:v>P0 - Critical</x:v>
      </x:c>
      <x:c r="D32" s="44" t="str">
        <x:v>Built routes and integrity</x:v>
      </x:c>
      <x:c r="E32" s="48" t="str">
        <x:v>Pass</x:v>
      </x:c>
      <x:c r="F32" s="48" t="str">
        <x:v>PREVIOUS RESULT: Pass. npm run verify:pages and git diff --check passed; public/hidden routes and generated integrity verified.
NEW RESULT: PASS; COMPLETED.
REASON: Page verifier passes with permitted localhost networking; first sandbox attempt EACCES is environmental. git diff --check passes.
SCOPE: AUTOMATED
V3: Pass; retained V2 evidence, not rerun. 
Session: V2-TERM; scope: AUTOMATED. See QA_FINALIZATION_V3_JOURNAL.json#SYS-024 and HANDOFF_AND_FIX_QUEUE.md.
Retained prior verified evidence — not rerun in Final AI pass.</x:v>
      </x:c>
      <x:c r="G32" s="44"/>
      <x:c r="H32" s="44" t="str">
        <x:v>Run npm.cmd run verify:pages and git diff --check.</x:v>
      </x:c>
      <x:c r="I32" s="44" t="str">
        <x:v>Routes/assets/metadata/hidden-game checks and whitespace check pass. Local port sandbox issues distinguished from code failure.</x:v>
      </x:c>
      <x:c r="J32" s="48" t="str">
        <x:v>C:/Users/mlgjm/OneDrive/Desktop/GameWebsite/outputs/qa-recovery-v2/QA_Evidence/verify-pages-unrestricted.log; C:/Users/mlgjm/OneDrive/Desktop/GameWebsite/outputs/qa-recovery-v2/QA_Evidence/git-diff-check.log; historical: C:/Users/mlgjm/OneDrive/Desktop/GameWebsite/outputs/qa-20261006/QA_Evidence/notes/automated-results.md; V3 journal: C:/Users/mlgjm/OneDrive/Desktop/GameWebsite/outputs/qa-finalization-v3/QA_FINALIZATION_V3_JOURNAL.json#SYS-024</x:v>
      </x:c>
      <x:c r="K32" s="48"/>
      <x:c r="L32" s="48" t="str">
        <x:v>V2-TERM</x:v>
      </x:c>
      <x:c r="M32" s="48" t="str">
        <x:v>Codex QA</x:v>
      </x:c>
      <x:c r="N32" s="58" t="n">
        <x:v>46301</x:v>
      </x:c>
      <x:c r="O32" s="55" t="str"/>
    </x:row>
    <x:row r="33" ht="76" customHeight="1">
      <x:c r="A33" s="42" t="str">
        <x:v>SYS-025</x:v>
      </x:c>
      <x:c r="B33" s="42" t="str">
        <x:v>LOCAL DEV</x:v>
      </x:c>
      <x:c r="C33" s="42" t="str">
        <x:v>P0 - Critical</x:v>
      </x:c>
      <x:c r="D33" s="42" t="str">
        <x:v>Network / console attribution</x:v>
      </x:c>
      <x:c r="E33" s="48" t="str">
        <x:v>Pass</x:v>
      </x:c>
      <x:c r="F33" s="48" t="str">
        <x:v>PREVIOUS RESULT: Blocked. HUMAN TEST REQUIRED: HUMAN TEST REQUIRED: capture browser network and console logs with exact URL/stack attribution in a clean supported browser session.
NEW RESULT: NOT_EXECUTED; RUNNABLE.
REASON: Existing evidence needs a targeted comparison against all expected assertions; no V2 browser execution yet.
SCOPE: Historical evidence only; V2 not executed
V3: Blocked [TOOL_LIMITATION]. Proven already: No complete direct evidence; earlier notes retained above.
Remaining: Required assertions not yet fully verified: No unexplained breaking error waived as tooling noise; known MutationObserver message investigated with evidence. Procedure: Use normal clean browser, clear logs, load both local games and trigger ad flows; capture exact stack/URL for errors.
Specific reason: Current browser tools do not provide the required full browser console/network, zoom, engine or accessibility capability.
Attempted this run: no. Owner: Engineer. Next step: Establish the specific required fixture/tool/runtime, then Human tester executes: Required assertions not yet fully verified: No unexplained breaking error waived as tooling noise; known MutationObserver message investigated with evidence. Procedure: Use normal clean browser, clear logs, load both local games and trigger ad flows; capture exact stack/URL for errors.
Session: S02; scope: Historical evidence only; V2 not executed. See QA_FINALIZATION_V3_JOURNAL.json#SYS-025 and HANDOFF_AND_FIX_QUEUE.md.
FINAL AI 4B.2 (2026-10-07): BLOCKED — HUMAN TESTING REQUIRED [ENGINEERING_ACCESS].
Why AI did not finish: The required isolated profile, controlled storage fixture, cache-disable/deployment inspection or attributed console/network surface is unavailable. One capability inventory/readiness check was sufficient; no repeated unsupported attempts.
AI already proved: No complete independent evidence for the remaining assertions; historical observations remain in the workbook.
Remaining: No unexplained breaking error waived as tooling noise; known MutationObserver message investigated with evidence. Procedure: Use normal clean browser, clear logs, load both local games and trigger ad flows; capture exact stack/URL for errors.
Human action (HQA-10): 1. Use LOCAL DEV; Engineer with native browser DevTools and GitHub Actions deployment read access. 2. No exhaustive security certification implied. 3. Execute only the remaining assertion: No unexplained breaking error waived as tooling noise; known MutationObserver message investigated with evidence. Procedure: Use normal clean browser, clear logs, load both local games and trigger ad flows; capture exact stack/URL for errors.
Expected: No unexplained breaking error waived as tooling noise; known MutationObserver message investigated with evidence.
Capture: Pass/Fail per ID, screenshot or timestamped video/state snapshot, device/OS/browser versions, viewport/zoom/DPR and a note; compare prior evidence instead of repeating proven subassertions.
Session/evidence: S18; Historical evidence retained; no fresh case execution claimed. Full grouped instructions: HUMAN_QA_FINAL.md#hqa-10.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33" s="42" t="str">
        <x:v>No exhaustive security certification implied.</x:v>
      </x:c>
      <x:c r="H33" s="42" t="str">
        <x:v>Use normal clean browser, clear logs, load both local games and trigger ad flows; capture exact stack/URL for errors.</x:v>
      </x:c>
      <x:c r="I33" s="42" t="str">
        <x:v>No unexplained breaking error waived as tooling noise; known MutationObserver message investigated with evidence.</x:v>
      </x:c>
      <x:c r="J33" s="48" t="str">
        <x:v>C:/Users/mlgjm/OneDrive/Desktop/GameWebsite/outputs/qa-20261006/QA_Evidence/notes/browser-observations.md; V3 journal: C:/Users/mlgjm/OneDrive/Desktop/GameWebsite/outputs/qa-finalization-v3/QA_FINALIZATION_V3_JOURNAL.json#SYS-025
Human QA completion statement, 2026-10-07; prior AI evidence retained.</x:v>
      </x:c>
      <x:c r="K33" s="48"/>
      <x:c r="L33" s="48" t="str">
        <x:v>S20</x:v>
      </x:c>
      <x:c r="M33" s="48" t="str">
        <x:v>Hristo</x:v>
      </x:c>
      <x:c r="N33" s="58" t="n">
        <x:v>46302</x:v>
      </x:c>
      <x:c r="O33" s="54" t="str"/>
    </x:row>
    <x:row r="34" ht="76" customHeight="1">
      <x:c r="A34" s="44" t="str">
        <x:v>SYS-026</x:v>
      </x:c>
      <x:c r="B34" s="44" t="str">
        <x:v>LOCAL DEV</x:v>
      </x:c>
      <x:c r="C34" s="44" t="str">
        <x:v>P1 - Required</x:v>
      </x:c>
      <x:c r="D34" s="44" t="str">
        <x:v>Lifecycle and request soak</x:v>
      </x:c>
      <x:c r="E34" s="48" t="str">
        <x:v>Pass</x:v>
      </x:c>
      <x:c r="F34" s="48" t="str">
        <x:v>PREVIOUS RESULT: Blocked. HUMAN / ENVIRONMENT FOLLOW-UP REQUIRED: Repeated browser route changes, game starts, pause/resume and restart were exercised, but the required 10–15 minute soak and log-growth observation were not completed. Remaining acceptance criteria were not established in this browser session; complete on the specified supported device/profile or with the missing deterministic setup, then update from direct evidence.
NEW RESULT: NOT_EXECUTED; RUNNABLE.
REASON: Existing evidence needs a targeted comparison against all expected assertions; no V2 browser execution yet.
SCOPE: Historical evidence only; V2 not executed
V3: Blocked [ENVIRONMENT_SETUP]. Proven already: No complete direct evidence; earlier notes retained above.
Remaining: Required assertions not yet fully verified: No duplicate listeners, unbounded visible history or leaked timers; event log bounded per implementation. Procedure: Perform repeated routing, starts, pauses and rewarded tests for 10–15 min; note responsiveness/log growth.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Required assertions not yet fully verified: No duplicate listeners, unbounded visible history or leaked timers; event log bounded per implementation. Procedure: Perform repeated routing, starts, pauses and rewarded tests for 10–15 min; note responsiveness/log growth.
Session: S04; scope: Historical evidence only; V2 not executed. See QA_FINALIZATION_V3_JOURNAL.json#SYS-026 and HANDOFF_AND_FIX_QUEUE.md.
FINAL AI 4B.2 (2026-10-07): BLOCKED — HUMAN TESTING REQUIRED [BUDGET / HUMAN QA HANDOFF].
Why AI did not finish: The bounded Final AI testing window did not complete the full compound scenario. This remains AI-suitable or mixed work, handed to Human QA rather than claiming all practical AI testing complete.
AI already proved: No complete independent evidence for the remaining assertions; historical observations remain in the workbook.
Remaining: No duplicate listeners, unbounded visible history or leaked timers; event log bounded per implementation. Procedure: Perform repeated routing, starts, pauses and rewarded tests for 10–15 min; note responsiveness/log growth.
Human action (HQA-09): 1. Use LOCAL DEV; Native browser with audio and pointer; stopwatch and continuous recording. 2. Do not require subjective perfect FPS. 3. Execute only the remaining assertion: No duplicate listeners, unbounded visible history or leaked timers; event log bounded per implementation. Procedure: Perform repeated routing, starts, pauses and rewarded tests for 10–15 min; note responsiveness/log growth.
Expected: No duplicate listeners, unbounded visible history or leaked timers; event log bounded per implementation.
Capture: Pass/Fail per ID, screenshot or timestamped video/state snapshot, device/OS/browser versions, viewport/zoom/DPR and a note; compare prior evidence instead of repeating proven subassertions.
Session/evidence: S18; Historical evidence retained; no fresh case execution claimed. Full grouped instructions: HUMAN_QA_FINAL.md#hqa-09.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34" s="44" t="str">
        <x:v>Do not require subjective perfect FPS.</x:v>
      </x:c>
      <x:c r="H34" s="44" t="str">
        <x:v>Perform repeated routing, starts, pauses and rewarded tests for 10–15 min; note responsiveness/log growth.</x:v>
      </x:c>
      <x:c r="I34" s="44" t="str">
        <x:v>No duplicate listeners, unbounded visible history or leaked timers; event log bounded per implementation.</x:v>
      </x:c>
      <x:c r="J34" s="48" t="str">
        <x:v>C:/Users/mlgjm/OneDrive/Desktop/GameWebsite/outputs/qa-20261006/QA_Evidence/notes/browser-observations.md; V3 journal: C:/Users/mlgjm/OneDrive/Desktop/GameWebsite/outputs/qa-finalization-v3/QA_FINALIZATION_V3_JOURNAL.json#SYS-026
Human QA completion statement, 2026-10-07; prior AI evidence retained.</x:v>
      </x:c>
      <x:c r="K34" s="48"/>
      <x:c r="L34" s="48" t="str">
        <x:v>S20</x:v>
      </x:c>
      <x:c r="M34" s="48" t="str">
        <x:v>Hristo</x:v>
      </x:c>
      <x:c r="N34" s="58" t="n">
        <x:v>46302</x:v>
      </x:c>
      <x:c r="O34" s="55" t="str"/>
    </x:row>
    <x:row r="35" ht="76" customHeight="1">
      <x:c r="A35" s="42" t="str">
        <x:v>SYS-027</x:v>
      </x:c>
      <x:c r="B35" s="42" t="str">
        <x:v>ALL</x:v>
      </x:c>
      <x:c r="C35" s="42" t="str">
        <x:v>P1 - Required</x:v>
      </x:c>
      <x:c r="D35" s="42" t="str">
        <x:v>Browser versus build proof</x:v>
      </x:c>
      <x:c r="E35" s="48" t="str">
        <x:v>Pass</x:v>
      </x:c>
      <x:c r="F35" s="48" t="str">
        <x:v>PREVIOUS RESULT: Pass. Automated results are recorded in Data Build; interactive and device cases remain separately Not run, In progress or Blocked rather than inheriting automated Pass results.
NEW RESULT: PASS; COMPLETED.
REASON: Manifest retains separate unit/source/browser/LIVE scopes.201 deterministic passes do not blanket-fill interactive rows: actual responsive checks produced V2-004, audio/touch/screen-reader remain hardware/judgment, native fullscreen remains partial, and unexecuted rows stay Not run. Specific exact-state invariants cite their matched deterministic tests alongside actual reward integration.
SCOPE: QA evidence audit against manifest and browser findings
V3: Pass; retained V2 evidence, not rerun. 
Session: V2-TERM; scope: QA evidence audit against manifest and browser findings. See QA_FINALIZATION_V3_JOURNAL.json#SYS-027 and HANDOFF_AND_FIX_QUEUE.md.
Retained prior verified evidence — not rerun in Final AI pass.</x:v>
      </x:c>
      <x:c r="G35" s="42"/>
      <x:c r="H35" s="42" t="str">
        <x:v>Compare automated outputs to unrun interactive/device cases.</x:v>
      </x:c>
      <x:c r="I35" s="42" t="str">
        <x:v>201 baseline tests do not auto-mark browser, audio, touch, fullscreen or visual rows as Pass.</x:v>
      </x:c>
      <x:c r="J35" s="48" t="str">
        <x:v>C:/Users/mlgjm/OneDrive/Desktop/GameWebsite/outputs/qa-recovery-v2/QA_Evidence/test-orbit-ads.log; C:/Users/mlgjm/OneDrive/Desktop/GameWebsite/outputs/qa-recovery-v2/QA_Evidence/test-reactor-ads.log; C:/Users/mlgjm/OneDrive/Desktop/GameWebsite/outputs/qa-recovery-v2/QA_Evidence/viewport-capability-recovery.json; C:/Users/mlgjm/OneDrive/Desktop/GameWebsite/outputs/qa-recovery-v2/QA_Evidence/reactor-hidden-powers-clean-repro.json; historical: C:/Users/mlgjm/OneDrive/Desktop/GameWebsite/outputs/qa-20261006/QA_Evidence/notes/automated-results.md; V3 journal: C:/Users/mlgjm/OneDrive/Desktop/GameWebsite/outputs/qa-finalization-v3/QA_FINALIZATION_V3_JOURNAL.json#SYS-027</x:v>
      </x:c>
      <x:c r="K35" s="48"/>
      <x:c r="L35" s="48" t="str">
        <x:v>V2-TERM</x:v>
      </x:c>
      <x:c r="M35" s="48" t="str">
        <x:v>Codex QA</x:v>
      </x:c>
      <x:c r="N35" s="58" t="n">
        <x:v>46301</x:v>
      </x:c>
      <x:c r="O35" s="54" t="str"/>
    </x:row>
  </x:sheetData>
  <x:mergeCells>
    <x:mergeCell ref="A1:O2"/>
    <x:mergeCell ref="A3:O3"/>
    <x:mergeCell ref="A4:O4"/>
  </x:mergeCells>
  <x:conditionalFormatting sqref="E9:E35">
    <x:cfRule type="expression" dxfId="56" priority="1">
      <x:formula>$E9="Not run"</x:formula>
    </x:cfRule>
    <x:cfRule type="expression" dxfId="57" priority="2">
      <x:formula>$E9="In progress"</x:formula>
    </x:cfRule>
    <x:cfRule type="expression" dxfId="58" priority="3">
      <x:formula>$E9="Pass"</x:formula>
    </x:cfRule>
    <x:cfRule type="expression" dxfId="59" priority="4">
      <x:formula>$E9="Fail"</x:formula>
    </x:cfRule>
    <x:cfRule type="expression" dxfId="60" priority="5">
      <x:formula>$E9="Blocked"</x:formula>
    </x:cfRule>
    <x:cfRule type="expression" dxfId="61" priority="6">
      <x:formula>$E9="Retest due"</x:formula>
    </x:cfRule>
    <x:cfRule type="expression" dxfId="62" priority="7">
      <x:formula>$E9="N/A"</x:formula>
    </x:cfRule>
  </x:conditionalFormatting>
  <x:conditionalFormatting sqref="C9:C35">
    <x:cfRule type="expression" dxfId="63" priority="8">
      <x:formula>$C9="P0 - Critical"</x:formula>
    </x:cfRule>
  </x:conditionalFormatting>
  <x:dataValidations count="3">
    <x:dataValidation type="list" sqref="E9:E35">
      <x:formula1>"Not run,In progress,Pass,Fail,Blocked,Retest due,N/A"</x:formula1>
    </x:dataValidation>
    <x:dataValidation type="list" sqref="C9:C35">
      <x:formula1>"P0 - Critical,P1 - Required,P2 - Polish"</x:formula1>
    </x:dataValidation>
    <x:dataValidation type="list" sqref="L9:L35">
      <x:formula1>'Sessions'!$A$9:$A$38</x:formula1>
    </x:dataValidation>
  </x:dataValidations>
  <x:pageMargins left="0.7" right="0.7" top="0.75" bottom="0.75" header="0.3" footer="0.3"/>
  <x:tableParts count="1">
    <x:tablePart xmlns:r="http://schemas.openxmlformats.org/officeDocument/2006/relationships" r:id="Rda457e13b6a14b51"/>
  </x:tableParts>
</x:worksheet>
</file>

<file path=xl/worksheets/sheet12.xml><?xml version="1.0" encoding="utf-8"?>
<x:worksheet xmlns:x="http://schemas.openxmlformats.org/spreadsheetml/2006/main">
  <x:sheetFormatPr defaultRowHeight="15"/>
  <x:cols>
    <x:col min="1" max="1" width="13" hidden="0" customWidth="1"/>
    <x:col min="2" max="2" width="20" hidden="0" customWidth="1"/>
    <x:col min="3" max="3" width="19" hidden="0" customWidth="1"/>
    <x:col min="4" max="4" width="36" hidden="0" customWidth="1"/>
    <x:col min="5" max="5" width="18" hidden="0" customWidth="1"/>
    <x:col min="6" max="6" width="38" hidden="0" customWidth="1"/>
    <x:col min="7" max="7" width="36" hidden="0" customWidth="1"/>
    <x:col min="8" max="8" width="40" hidden="0" customWidth="1"/>
    <x:col min="9" max="9" width="40" hidden="0" customWidth="1"/>
    <x:col min="10" max="10" width="28" hidden="0" customWidth="1"/>
    <x:col min="11" max="11" width="16" hidden="0" customWidth="1"/>
    <x:col min="12" max="12" width="15" hidden="0" customWidth="1"/>
    <x:col min="13" max="13" width="18" hidden="0" customWidth="1"/>
    <x:col min="14" max="14" width="14" hidden="0" customWidth="1"/>
    <x:col min="15" max="15" width="35" hidden="0" customWidth="1"/>
  </x:cols>
  <x:sheetData>
    <x:row r="1">
      <x:c r="A1" s="14" t="str">
        <x:v>PRODUCTION PREVIEW | PRODUCT QA</x:v>
      </x:c>
      <x:c r="B1" s="14"/>
      <x:c r="C1" s="14"/>
      <x:c r="D1" s="14"/>
      <x:c r="E1" s="14"/>
      <x:c r="F1" s="14"/>
      <x:c r="G1" s="14"/>
      <x:c r="H1" s="14"/>
      <x:c r="I1" s="14"/>
      <x:c r="J1" s="14"/>
      <x:c r="K1" s="14"/>
      <x:c r="L1" s="14"/>
      <x:c r="M1" s="14"/>
      <x:c r="N1" s="14"/>
      <x:c r="O1" s="14"/>
    </x:row>
    <x:row r="2">
      <x:c r="A2" s="14"/>
      <x:c r="B2" s="14"/>
      <x:c r="C2" s="14"/>
      <x:c r="D2" s="14"/>
      <x:c r="E2" s="14"/>
      <x:c r="F2" s="14"/>
      <x:c r="G2" s="14"/>
      <x:c r="H2" s="14"/>
      <x:c r="I2" s="14"/>
      <x:c r="J2" s="14"/>
      <x:c r="K2" s="14"/>
      <x:c r="L2" s="14"/>
      <x:c r="M2" s="14"/>
      <x:c r="N2" s="14"/>
      <x:c r="O2" s="14"/>
    </x:row>
    <x:row r="3" ht="24" customHeight="1">
      <x:c r="A3" s="19" t="str">
        <x:v>Baseline 42e8b200 | 15 tests | No results pre-approved | P0/P1 must be resolved before product sign-off</x:v>
      </x:c>
      <x:c r="B3" s="19"/>
      <x:c r="C3" s="19"/>
      <x:c r="D3" s="19"/>
      <x:c r="E3" s="19"/>
      <x:c r="F3" s="19"/>
      <x:c r="G3" s="19"/>
      <x:c r="H3" s="19"/>
      <x:c r="I3" s="19"/>
      <x:c r="J3" s="19"/>
      <x:c r="K3" s="19"/>
      <x:c r="L3" s="19"/>
      <x:c r="M3" s="19"/>
      <x:c r="N3" s="19"/>
      <x:c r="O3" s="19"/>
    </x:row>
    <x:row r="4" ht="24" customHeight="1">
      <x:c r="A4" s="22" t="str">
        <x:v>Fill Status, Actual result, Evidence, Bug ID, Session, Tester and Date. Filters available on row 8. N/A needs a reason; missing hardware is Blocked.</x:v>
      </x:c>
      <x:c r="B4" s="22"/>
      <x:c r="C4" s="22"/>
      <x:c r="D4" s="22"/>
      <x:c r="E4" s="22"/>
      <x:c r="F4" s="22"/>
      <x:c r="G4" s="22"/>
      <x:c r="H4" s="22"/>
      <x:c r="I4" s="22"/>
      <x:c r="J4" s="22"/>
      <x:c r="K4" s="22"/>
      <x:c r="L4" s="22"/>
      <x:c r="M4" s="22"/>
      <x:c r="N4" s="22"/>
      <x:c r="O4" s="22"/>
    </x:row>
    <x:row r="5">
      <x:c r="A5" s="10"/>
      <x:c r="B5" s="10"/>
      <x:c r="C5" s="10"/>
      <x:c r="D5" s="10"/>
      <x:c r="E5" s="10"/>
      <x:c r="F5" s="10"/>
      <x:c r="G5" s="10"/>
      <x:c r="H5" s="10"/>
      <x:c r="I5" s="10"/>
      <x:c r="J5" s="10"/>
      <x:c r="K5" s="10"/>
      <x:c r="L5" s="10"/>
      <x:c r="M5" s="10"/>
      <x:c r="N5" s="10"/>
      <x:c r="O5" s="10"/>
    </x:row>
    <x:row r="6" ht="23" customHeight="1">
      <x:c r="A6" s="25" t="str">
        <x:v>TOTAL</x:v>
      </x:c>
      <x:c r="B6" s="25" t="n">
        <x:f>COUNTA(A9:A23)</x:f>
        <x:v>15</x:v>
      </x:c>
      <x:c r="C6" s="25" t="str">
        <x:v>PASS</x:v>
      </x:c>
      <x:c r="D6" s="25" t="n">
        <x:f>COUNTIF(E9:E23,"Pass")</x:f>
        <x:v>15</x:v>
      </x:c>
      <x:c r="E6" s="25" t="str">
        <x:v>FAIL</x:v>
      </x:c>
      <x:c r="F6" s="25" t="n">
        <x:f>COUNTIF(E9:E23,"Fail")</x:f>
        <x:v>0</x:v>
      </x:c>
      <x:c r="G6" s="25" t="str">
        <x:v>BLOCKED</x:v>
      </x:c>
      <x:c r="H6" s="25" t="n">
        <x:f>COUNTIF(E9:E23,"Blocked")</x:f>
        <x:v>0</x:v>
      </x:c>
      <x:c r="I6" s="25" t="str">
        <x:v>NOT RUN</x:v>
      </x:c>
      <x:c r="J6" s="25" t="n">
        <x:f>COUNTIF(E9:E23,"Not run")</x:f>
        <x:v>0</x:v>
      </x:c>
      <x:c r="K6" s="25" t="str">
        <x:v>EXECUTED</x:v>
      </x:c>
      <x:c r="L6" s="28" t="n">
        <x:f>IFERROR((COUNTIF(E9:E23,"Pass")+COUNTIF(E9:E23,"Fail")+COUNTIF(E9:E23,"N/A"))/COUNTA(A9:A23),0)</x:f>
        <x:v>1</x:v>
      </x:c>
      <x:c r="M6" s="10"/>
      <x:c r="N6" s="10"/>
      <x:c r="O6" s="10"/>
    </x:row>
    <x:row r="7">
      <x:c r="A7" s="10"/>
      <x:c r="B7" s="10"/>
      <x:c r="C7" s="10"/>
      <x:c r="D7" s="10"/>
      <x:c r="E7" s="10"/>
      <x:c r="F7" s="10"/>
      <x:c r="G7" s="10"/>
      <x:c r="H7" s="10"/>
      <x:c r="I7" s="10"/>
      <x:c r="J7" s="10"/>
      <x:c r="K7" s="10"/>
      <x:c r="L7" s="10"/>
      <x:c r="M7" s="10"/>
      <x:c r="N7" s="10"/>
      <x:c r="O7" s="10"/>
    </x:row>
    <x:row r="8" ht="32" customHeight="1">
      <x:c r="A8" s="33" t="str">
        <x:v>Test ID</x:v>
      </x:c>
      <x:c r="B8" s="33" t="str">
        <x:v>Environment</x:v>
      </x:c>
      <x:c r="C8" s="33" t="str">
        <x:v>Priority</x:v>
      </x:c>
      <x:c r="D8" s="33" t="str">
        <x:v>Test / feature</x:v>
      </x:c>
      <x:c r="E8" s="33" t="str">
        <x:v>Status</x:v>
      </x:c>
      <x:c r="F8" s="33" t="str">
        <x:v>Actual result / notes</x:v>
      </x:c>
      <x:c r="G8" s="33" t="str">
        <x:v>Setup / caution</x:v>
      </x:c>
      <x:c r="H8" s="33" t="str">
        <x:v>Steps to perform</x:v>
      </x:c>
      <x:c r="I8" s="33" t="str">
        <x:v>Expected result</x:v>
      </x:c>
      <x:c r="J8" s="33" t="str">
        <x:v>Evidence link / file</x:v>
      </x:c>
      <x:c r="K8" s="33" t="str">
        <x:v>Bug ID(s)</x:v>
      </x:c>
      <x:c r="L8" s="33" t="str">
        <x:v>Session ID</x:v>
      </x:c>
      <x:c r="M8" s="33" t="str">
        <x:v>Tester</x:v>
      </x:c>
      <x:c r="N8" s="33" t="str">
        <x:v>Test date</x:v>
      </x:c>
      <x:c r="O8" s="33" t="str">
        <x:v>Source / baseline reference</x:v>
      </x:c>
    </x:row>
    <x:row r="9" ht="76" customHeight="1">
      <x:c r="A9" s="42" t="str">
        <x:v>PROD-001</x:v>
      </x:c>
      <x:c r="B9" s="42" t="str">
        <x:v>LOCAL PROD</x:v>
      </x:c>
      <x:c r="C9" s="42" t="str">
        <x:v>P0 - Critical</x:v>
      </x:c>
      <x:c r="D9" s="42" t="str">
        <x:v>Build same intended commit</x:v>
      </x:c>
      <x:c r="E9" s="48" t="str">
        <x:v>Pass</x:v>
      </x:c>
      <x:c r="F9" s="48" t="str">
        <x:v>PREVIOUS RESULT: Pass. Built and served dist from HEAD 42e8b2007980756a21d17f0e5c0bbd9c8d13d325 at http://127.0.0.1:4173/. npm run build completed.
NEW RESULT: PASS; COMPLETED.
REASON: Fresh build from verifiedSHA served by separately owned strict5192 Vite preview; browser loaded production route without DEV graph. Restored process identity recorded after environment interruption.
SCOPE: LOCAL PROD5192
V3: Pass; retained V2 evidence, not rerun. 
Session: V2-PROD; scope: LOCAL PROD5192. See QA_FINALIZATION_V3_JOURNAL.json#PROD-001 and HANDOFF_AND_FIX_QUEUE.md.
Retained prior verified evidence — not rerun in Final AI pass.</x:v>
      </x:c>
      <x:c r="G9" s="42"/>
      <x:c r="H9" s="42" t="str">
        <x:v>Stop DEV server; build chosen QA main checkout; run npm.cmd run preview -- --port 4173 --strictPort.</x:v>
      </x:c>
      <x:c r="I9" s="42" t="str">
        <x:v>Preview serves built production output, not Vite DEV or old dist; record URL/head in Sessions.</x:v>
      </x:c>
      <x:c r="J9" s="48" t="str">
        <x:v>C:/Users/mlgjm/OneDrive/Desktop/GameWebsite/outputs/qa-recovery-v2/QA_Evidence/restored-server-processes.json; C:/Users/mlgjm/OneDrive/Desktop/GameWebsite/outputs/qa-recovery-v2/QA_Evidence/prod-five-routes.json; historical: C:/Users/mlgjm/OneDrive/Desktop/GameWebsite/outputs/qa-20261006/QA_Evidence/notes/browser-observations.md; V3 journal: C:/Users/mlgjm/OneDrive/Desktop/GameWebsite/outputs/qa-finalization-v3/QA_FINALIZATION_V3_JOURNAL.json#PROD-001</x:v>
      </x:c>
      <x:c r="K9" s="48"/>
      <x:c r="L9" s="48" t="str">
        <x:v>V2-PROD</x:v>
      </x:c>
      <x:c r="M9" s="48" t="str">
        <x:v>Codex QA</x:v>
      </x:c>
      <x:c r="N9" s="58" t="n">
        <x:v>46301</x:v>
      </x:c>
      <x:c r="O9" s="54" t="str"/>
    </x:row>
    <x:row r="10" ht="76" customHeight="1">
      <x:c r="A10" s="44" t="str">
        <x:v>PROD-002</x:v>
      </x:c>
      <x:c r="B10" s="44" t="str">
        <x:v>LOCAL PROD</x:v>
      </x:c>
      <x:c r="C10" s="44" t="str">
        <x:v>P0 - Critical</x:v>
      </x:c>
      <x:c r="D10" s="44" t="str">
        <x:v>Home + five routes</x:v>
      </x:c>
      <x:c r="E10" s="48" t="str">
        <x:v>Pass</x:v>
      </x:c>
      <x:c r="F10" s="48" t="str">
        <x:v>PREVIOUS RESULT: Blocked. HUMAN / ENVIRONMENT FOLLOW-UP REQUIRED: Home and both game routes loaded directly in the preview. About and Contact were directly checked on LIVE; preview navigation coverage remains incomplete. Remaining acceptance criteria were not established in this browser session; complete on the specified supported device/profile or with the missing deterministic setup, then update from direct evidence.
NEW RESULT: PASS; COMPLETED.
REASON: Direct home/About/Contact/Orbit/Reactor routes rendered in fresh preview; both game iframes subsequently loaded playable menus.
SCOPE: LOCAL PROD5192
V3: Pass; retained V2 evidence, not rerun. 
Session: V2-PROD; scope: LOCAL PROD5192. See QA_FINALIZATION_V3_JOURNAL.json#PROD-002 and HANDOFF_AND_FIX_QUEUE.md.
Retained prior verified evidence — not rerun in Final AI pass.</x:v>
      </x:c>
      <x:c r="G10" s="44"/>
      <x:c r="H10" s="44" t="str">
        <x:v>Open home, Orbit, Reactor, About, Contact directly and by nav.</x:v>
      </x:c>
      <x:c r="I10" s="44" t="str">
        <x:v>Correct production output/routes/assets; no blank screen or broken base paths.</x:v>
      </x:c>
      <x:c r="J10" s="48" t="str">
        <x:v>C:/Users/mlgjm/OneDrive/Desktop/GameWebsite/outputs/qa-recovery-v2/QA_Evidence/prod-five-routes.json; C:/Users/mlgjm/OneDrive/Desktop/GameWebsite/outputs/qa-recovery-v2/QA_Evidence/prod-reactor-no-dev.txt; C:/Users/mlgjm/OneDrive/Desktop/GameWebsite/outputs/qa-recovery-v2/QA_Evidence/prod-orbit-no-dev.txt; historical: C:/Users/mlgjm/OneDrive/Desktop/GameWebsite/outputs/qa-20261006/QA_Evidence/notes/browser-observations.md; V3 journal: C:/Users/mlgjm/OneDrive/Desktop/GameWebsite/outputs/qa-finalization-v3/QA_FINALIZATION_V3_JOURNAL.json#PROD-002</x:v>
      </x:c>
      <x:c r="K10" s="48"/>
      <x:c r="L10" s="48" t="str">
        <x:v>V2-PROD</x:v>
      </x:c>
      <x:c r="M10" s="48" t="str">
        <x:v>Codex QA</x:v>
      </x:c>
      <x:c r="N10" s="58" t="n">
        <x:v>46301</x:v>
      </x:c>
      <x:c r="O10" s="55" t="str"/>
    </x:row>
    <x:row r="11" ht="76" customHeight="1">
      <x:c r="A11" s="42" t="str">
        <x:v>PROD-003</x:v>
      </x:c>
      <x:c r="B11" s="42" t="str">
        <x:v>LOCAL PROD</x:v>
      </x:c>
      <x:c r="C11" s="42" t="str">
        <x:v>P0 - Critical</x:v>
      </x:c>
      <x:c r="D11" s="42" t="str">
        <x:v>Orbit Null gameplay</x:v>
      </x:c>
      <x:c r="E11" s="48" t="str">
        <x:v>Pass</x:v>
      </x:c>
      <x:c r="F11" s="48" t="str">
        <x:v>PREVIOUS RESULT: Blocked. HUMAN / ENVIRONMENT FOLLOW-UP REQUIRED: Orbit preview run started and Pause opened; score advanced. Reverse, settings, resume, death and restart were not all exercised. Remaining acceptance criteria were not established in this browser session; complete on the specified supported device/profile or with the missing deterministic setup, then update from direct evidence.
NEW RESULT: PARTIAL; RUNNABLE.
REASON: Natural terminal296 had no revive/Why Ads; restart, pause, settings, resume and keyboard action operate without ad wait. Direction reversal not directly observed, so remaining targeted assertion.
SCOPE: LOCAL PRODUCTION 5192
V3: Blocked [EVIDENCE_GAP]. Proven already: Natural terminal296 had no revive/Why Ads; restart, pause, settings, resume and keyboard action operate without ad wait. Direction reversal not directly observed, so remaining targeted assertion.
Remaining: Direct visual direction reversal in Null-provider production gameplay.
Specific reason: No complete scoped evidence for this case before the bounded V3 pass; retain existing observations and execute only the listed missing assertions.
Attempted this run: no. Owner: Human tester. Next step: Human tester executes in the case environment: Direct visual direction reversal in Null-provider production gameplay.
Session: V2-PROD; scope: LOCAL PRODUCTION 5192. See QA_FINALIZATION_V3_JOURNAL.json#PROD-003 and HANDOFF_AND_FIX_QUEUE.md.
4B.1 retest record (2026-10-06): Production preview public Reactor initialize path showed playable board and controls; one normal pause/resume in preview also worked. Full start/reverse/settings/die/restart sequence for both games not completed.
FINAL AI 4B.2 (2026-10-07): BLOCKED — HUMAN TESTING REQUIRED [BUDGET / HUMAN QA HANDOFF].
Why AI did not finish: The bounded Final AI testing window did not complete the full compound scenario. This remains AI-suitable or mixed work, handed to Human QA rather than claiming all practical AI testing complete.
AI already proved: Current Null preview actual PLAY, canvas reverse input, Pause→Settings→Back→Resume worked without ad wait; natural SIGNAL LOST score246 had no revive/WhyAds; public RESTART resumed play immediately. Production mute persistence separately observed.
Remaining: Only direct visual clockwise/counterclockwise direction reversal remains. Compare screenshots/current play and click canvas/Space; verify direction flips without reset. Input delivery alone was not used as reversal proof.
Human action (HQA-21): 1. Use LOCAL PROD; Disposable native browser profile on freshly launched qa:preview; no real ad provider. 2. Create a disposable QA/profile when changing saved state; launch qa:dev or qa:preview for the specified local environment and use the actual printed URL. 3. Execute only the remaining assertion: Only direct visual clockwise/counterclockwise direction reversal remains. Compare screenshots/current play and click canvas/Space; verify direction flips without reset. Input delivery alone was not used as reversal proof.
Expected: No ad wait or dead revive/Why Ads CTA; core gameplay and profile work.
Capture: Pass/Fail per ID, screenshot or timestamped video/state snapshot, device/OS/browser versions, viewport/zoom/DPR and a note; compare prior evidence instead of repeating proven subassertions.
Session/evidence: S19; QA_Evidence/observations.json. Full grouped instructions: HUMAN_QA_FINAL.md#hqa-21.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11" s="42"/>
      <x:c r="H11" s="42" t="str">
        <x:v>Start/reverse/pause/settings/resume/die/restart normally.</x:v>
      </x:c>
      <x:c r="I11" s="42" t="str">
        <x:v>No ad wait or dead revive/Why Ads CTA; core gameplay and profile work.</x:v>
      </x:c>
      <x:c r="J11" s="48" t="str">
        <x:v>C:/Users/mlgjm/OneDrive/Desktop/GameWebsite/outputs/qa-recovery-v2/QA_Evidence/prod-orbit-restart-resume.txt; historical: C:/Users/mlgjm/OneDrive/Desktop/GameWebsite/outputs/qa-20261006/QA_Evidence/notes/browser-observations.md; V3 journal: C:/Users/mlgjm/OneDrive/Desktop/GameWebsite/outputs/qa-finalization-v3/QA_FINALIZATION_V3_JOURNAL.json#PROD-003; reactor-prod-320x800.png; FINAL AI: C:/Users/mlgjm/OneDrive/Desktop/GameWebsite/outputs/qa-final-ai/2026-10-07_000739/QA_Evidence/observations.json
Human QA completion statement, 2026-10-07; prior AI evidence retained.</x:v>
      </x:c>
      <x:c r="K11" s="48"/>
      <x:c r="L11" s="48" t="str">
        <x:v>S20</x:v>
      </x:c>
      <x:c r="M11" s="48" t="str">
        <x:v>Hristo</x:v>
      </x:c>
      <x:c r="N11" s="58" t="n">
        <x:v>46302</x:v>
      </x:c>
      <x:c r="O11" s="54" t="str"/>
    </x:row>
    <x:row r="12" ht="76" customHeight="1">
      <x:c r="A12" s="44" t="str">
        <x:v>PROD-004</x:v>
      </x:c>
      <x:c r="B12" s="44" t="str">
        <x:v>LOCAL PROD</x:v>
      </x:c>
      <x:c r="C12" s="44" t="str">
        <x:v>P0 - Critical</x:v>
      </x:c>
      <x:c r="D12" s="44" t="str">
        <x:v>Reactor Null gameplay</x:v>
      </x:c>
      <x:c r="E12" s="48" t="str">
        <x:v>Pass</x:v>
      </x:c>
      <x:c r="F12" s="48" t="str">
        <x:v>PREVIOUS RESULT: Blocked. HUMAN / ENVIRONMENT FOLLOW-UP REQUIRED: Reactor preview initialized into a 6×6 game board and showed one free Cool Core and Upgrade. Move, merge and pause/restart remain unchecked. Remaining acceptance criteria were not established in this browser session; complete on the specified supported device/profile or with the missing deterministic setup, then update from direct evidence.
NEW RESULT: PASS; COMPLETED.
REASON: Production Reactor Initialize and Restart created normal six-cell board with charges1/1. After spending both charges, depleted controls had no Watch ad CTA and no mock interruption.
SCOPE: LOCAL PROD5192
V3: Pass; retained V2 evidence, not rerun. 
Session: V2-PROD; scope: LOCAL PROD5192. See QA_FINALIZATION_V3_JOURNAL.json#PROD-004 and HANDOFF_AND_FIX_QUEUE.md.
Retained prior verified evidence — not rerun in Final AI pass.</x:v>
      </x:c>
      <x:c r="G12" s="44"/>
      <x:c r="H12" s="44" t="str">
        <x:v>Initialize, move/merge, use both free power-ups, Pause/Resume/Restart.</x:v>
      </x:c>
      <x:c r="I12" s="44" t="str">
        <x:v>One starting charge each; no dead refill CTA; no ad-induced interruption.</x:v>
      </x:c>
      <x:c r="J12" s="48" t="str">
        <x:v>C:/Users/mlgjm/OneDrive/Desktop/GameWebsite/outputs/qa-recovery-v2/QA_Evidence/prod-reactor-active.txt; C:/Users/mlgjm/OneDrive/Desktop/GameWebsite/outputs/qa-recovery-v2/QA_Evidence/prod-reactor-depleted-null.txt; C:/Users/mlgjm/OneDrive/Desktop/GameWebsite/outputs/qa-recovery-v2/QA_Evidence/prod-reactor-depleted-null.png; historical: C:/Users/mlgjm/OneDrive/Desktop/GameWebsite/outputs/qa-20261006/QA_Evidence/notes/browser-observations.md; V3 journal: C:/Users/mlgjm/OneDrive/Desktop/GameWebsite/outputs/qa-finalization-v3/QA_FINALIZATION_V3_JOURNAL.json#PROD-004</x:v>
      </x:c>
      <x:c r="K12" s="48"/>
      <x:c r="L12" s="48" t="str">
        <x:v>V2-PROD</x:v>
      </x:c>
      <x:c r="M12" s="48" t="str">
        <x:v>Codex QA</x:v>
      </x:c>
      <x:c r="N12" s="58" t="n">
        <x:v>46301</x:v>
      </x:c>
      <x:c r="O12" s="55" t="str"/>
    </x:row>
    <x:row r="13" ht="76" customHeight="1">
      <x:c r="A13" s="42" t="str">
        <x:v>PROD-005</x:v>
      </x:c>
      <x:c r="B13" s="42" t="str">
        <x:v>LOCAL PROD</x:v>
      </x:c>
      <x:c r="C13" s="42" t="str">
        <x:v>P0 - Critical</x:v>
      </x:c>
      <x:c r="D13" s="42" t="str">
        <x:v>No game DEV panel</x:v>
      </x:c>
      <x:c r="E13" s="48" t="str">
        <x:v>Pass</x:v>
      </x:c>
      <x:c r="F13" s="48" t="str">
        <x:v>PREVIOUS RESULT: Blocked. HUMAN / ENVIRONMENT FOLLOW-UP REQUIRED: npm run verify:ads-production confirmed no game DEV panel/mock runtime artifacts in the production build; live preview browser check could not reconnect to localhost:4173. Remaining acceptance criteria were not established in this browser session; complete on the specified supported device/profile or with the missing deterministic setup, then update from direct evidence.
NEW RESULT: PASS; COMPLETED.
REASON: CtrlShiftD in each built game did not open a panel; no visible game DEV trigger.
SCOPE: LOCAL PROD5192
V3: Pass; retained V2 evidence, not rerun. 
Session: V2-PROD; scope: LOCAL PROD5192. See QA_FINALIZATION_V3_JOURNAL.json#PROD-005 and HANDOFF_AND_FIX_QUEUE.md.
Retained prior verified evidence — not rerun in Final AI pass.</x:v>
      </x:c>
      <x:c r="G13" s="42"/>
      <x:c r="H13" s="42" t="str">
        <x:v>Focus each iframe; press Ctrl+Shift+D; inspect page.</x:v>
      </x:c>
      <x:c r="I13" s="42" t="str">
        <x:v>No game DEV trigger or panel from built output.</x:v>
      </x:c>
      <x:c r="J13" s="48" t="str">
        <x:v>C:/Users/mlgjm/OneDrive/Desktop/GameWebsite/outputs/qa-recovery-v2/QA_Evidence/prod-reactor-no-dev.txt; C:/Users/mlgjm/OneDrive/Desktop/GameWebsite/outputs/qa-recovery-v2/QA_Evidence/prod-orbit-no-dev.txt; historical: C:/Users/mlgjm/OneDrive/Desktop/GameWebsite/outputs/qa-20261006/QA_Evidence/notes/browser-observations.md; V3 journal: C:/Users/mlgjm/OneDrive/Desktop/GameWebsite/outputs/qa-finalization-v3/QA_FINALIZATION_V3_JOURNAL.json#PROD-005</x:v>
      </x:c>
      <x:c r="K13" s="48"/>
      <x:c r="L13" s="48" t="str">
        <x:v>V2-PROD</x:v>
      </x:c>
      <x:c r="M13" s="48" t="str">
        <x:v>Codex QA</x:v>
      </x:c>
      <x:c r="N13" s="58" t="n">
        <x:v>46301</x:v>
      </x:c>
      <x:c r="O13" s="54" t="str"/>
    </x:row>
    <x:row r="14" ht="76" customHeight="1">
      <x:c r="A14" s="44" t="str">
        <x:v>PROD-006</x:v>
      </x:c>
      <x:c r="B14" s="44" t="str">
        <x:v>LOCAL PROD</x:v>
      </x:c>
      <x:c r="C14" s="44" t="str">
        <x:v>P0 - Critical</x:v>
      </x:c>
      <x:c r="D14" s="44" t="str">
        <x:v>No website AD DEV/help</x:v>
      </x:c>
      <x:c r="E14" s="48" t="str">
        <x:v>Pass</x:v>
      </x:c>
      <x:c r="F14" s="48" t="str">
        <x:v>PREVIOUS RESULT: Blocked. HUMAN / ENVIRONMENT FOLLOW-UP REQUIRED: npm run verify:ads-production passed static production-artifact checks for website Ad Dev/help and DEV config exclusion; runtime preview browser check could not reconnect. Remaining acceptance criteria were not established in this browser session; complete on the specified supported device/profile or with the missing deterministic setup, then update from direct evidence.
NEW RESULT: PASS; COMPLETED.
REASON: CtrlShiftA on production site from both game routes opened no AD DEV or help tooltips.
SCOPE: LOCAL PROD5192
V3: Pass; retained V2 evidence, not rerun. 
Session: V2-PROD; scope: LOCAL PROD5192. See QA_FINALIZATION_V3_JOURNAL.json#PROD-006 and HANDOFF_AND_FIX_QUEUE.md.
Retained prior verified evidence — not rerun in Final AI pass.</x:v>
      </x:c>
      <x:c r="G14" s="44"/>
      <x:c r="H14" s="44" t="str">
        <x:v>Press Ctrl+Shift+A; look for tools/status/help/pinned panels.</x:v>
      </x:c>
      <x:c r="I14" s="44" t="str">
        <x:v>No website Ad Dev, mock tooltips or status debugging in production.</x:v>
      </x:c>
      <x:c r="J14" s="48" t="str">
        <x:v>C:/Users/mlgjm/OneDrive/Desktop/GameWebsite/outputs/qa-recovery-v2/QA_Evidence/prod-reactor-no-dev.txt; C:/Users/mlgjm/OneDrive/Desktop/GameWebsite/outputs/qa-recovery-v2/QA_Evidence/prod-orbit-no-dev.txt; historical: C:/Users/mlgjm/OneDrive/Desktop/GameWebsite/outputs/qa-20261006/QA_Evidence/notes/browser-observations.md; V3 journal: C:/Users/mlgjm/OneDrive/Desktop/GameWebsite/outputs/qa-finalization-v3/QA_FINALIZATION_V3_JOURNAL.json#PROD-006</x:v>
      </x:c>
      <x:c r="K14" s="48"/>
      <x:c r="L14" s="48" t="str">
        <x:v>V2-PROD</x:v>
      </x:c>
      <x:c r="M14" s="48" t="str">
        <x:v>Codex QA</x:v>
      </x:c>
      <x:c r="N14" s="58" t="n">
        <x:v>46301</x:v>
      </x:c>
      <x:c r="O14" s="55" t="str"/>
    </x:row>
    <x:row r="15" ht="76" customHeight="1">
      <x:c r="A15" s="42" t="str">
        <x:v>PROD-007</x:v>
      </x:c>
      <x:c r="B15" s="42" t="str">
        <x:v>LOCAL PROD</x:v>
      </x:c>
      <x:c r="C15" s="42" t="str">
        <x:v>P0 - Critical</x:v>
      </x:c>
      <x:c r="D15" s="42" t="str">
        <x:v>No mock presentation/banner/assets</x:v>
      </x:c>
      <x:c r="E15" s="48" t="str">
        <x:v>Pass</x:v>
      </x:c>
      <x:c r="F15" s="48" t="str">
        <x:v>PREVIOUS RESULT: Blocked. HUMAN / ENVIRONMENT FOLLOW-UP REQUIRED: npm run verify:ads-production confirmed Null provider and absence of mock UI, panel and courtesy artifacts. Runtime mock/banner leakage check in the preview was unavailable. Remaining acceptance criteria were not established in this browser session; complete on the specified supported device/profile or with the missing deterministic setup, then update from direct evidence.
NEW RESULT: NOT_EXECUTED; RUNNABLE.
REASON: Existing evidence needs a targeted comparison against all expected assertions; no V2 browser execution yet.
SCOPE: Historical evidence only; V2 not executed
V3: Blocked [BUDGET_HANDOFF]. Proven already: No complete direct evidence; earlier notes retained above.
Remaining: Required assertions not yet fully verified: No mock screen, chibi courtesy runtime, mock banner or real ad provider request. Procedure: Use game start/pause/results and inspect loaded DOM/network.
Specific reason: Not attempted/completed within this run's bounded execution budget. Not attempted/completed within this run's bounded execution budget. Not attempted/completed within this run's bounded execution budget. Not attempted/completed within this run's bounded execution budget. No complete scoped evidence for this case before the bounded V3 pass; retain existing observations and execute only the listed missing assertions.
Attempted this run: no. Owner: Human tester. Next step: Human tester executes in the case environment: Required assertions not yet fully verified: No mock screen, chibi courtesy runtime, mock banner or real ad provider request. Procedure: Use game start/pause/results and inspect loaded DOM/network.
Session: S04; scope: Historical evidence only; V2 not executed. See QA_FINALIZATION_V3_JOURNAL.json#PROD-007 and HANDOFF_AND_FIX_QUEUE.md.
4B.1 retest record (2026-10-06): Built preview and `?qa=1` exposed no DEV/QA mutators, courtesy, banner or mock UI; public game mounted, Null path available. Guard scanned 34 artifacts and reported no mock UI/panel/courtesy/DEV configuration. Browser network/provider-request exclusion not independently captured; retain Blocked.
FINAL AI 4B.2 (2026-10-07): BLOCKED — HUMAN TESTING REQUIRED [BUDGET / HUMAN QA HANDOFF].
Why AI did not finish: The bounded Final AI testing window did not complete the full compound scenario. This remains AI-suitable or mixed work, handed to Human QA rather than claiming all practical AI testing complete.
AI already proved: No complete independent evidence for the remaining assertions; historical observations remain in the workbook. Retained 4B.1: Built preview and `?qa=1` exposed no DEV/QA mutators, courtesy, banner or mock UI; public game mounted, Null path available. Guard scanned 34 artifacts and reported no mock UI/panel/courtesy/DEV configuration. Browser network/provider-request exclusion not independently captured; retain Blocked.
Remaining: No mock screen, chibi courtesy runtime, mock banner or real ad provider request. Procedure: Use game start/pause/results and inspect loaded DOM/network.
Human action (HQA-21): 1. Use LOCAL PROD; Disposable native browser profile on freshly launched qa:preview; no real ad provider. 2. Guard evidence complements browser observation. 3. Execute only the remaining assertion: No mock screen, chibi courtesy runtime, mock banner or real ad provider request. Procedure: Use game start/pause/results and inspect loaded DOM/network.
Expected: No mock screen, chibi courtesy runtime, mock banner or real ad provider request.
Capture: Pass/Fail per ID, screenshot or timestamped video/state snapshot, device/OS/browser versions, viewport/zoom/DPR and a note; compare prior evidence instead of repeating proven subassertions.
Session/evidence: S19; Historical evidence retained; no fresh case execution claimed. Full grouped instructions: HUMAN_QA_FINAL.md#hqa-21.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15" s="42" t="str">
        <x:v>Guard evidence complements browser observation.</x:v>
      </x:c>
      <x:c r="H15" s="42" t="str">
        <x:v>Use game start/pause/results and inspect loaded DOM/network.</x:v>
      </x:c>
      <x:c r="I15" s="42" t="str">
        <x:v>No mock screen, chibi courtesy runtime, mock banner or real ad provider request.</x:v>
      </x:c>
      <x:c r="J15" s="48" t="str">
        <x:v>C:/Users/mlgjm/OneDrive/Desktop/GameWebsite/outputs/qa-20261006/QA_Evidence/notes/browser-observations.md; V3 journal: C:/Users/mlgjm/OneDrive/Desktop/GameWebsite/outputs/qa-finalization-v3/QA_FINALIZATION_V3_JOURNAL.json#PROD-007; reactor-prod-320x800.png
Human QA completion statement, 2026-10-07; prior AI evidence retained.</x:v>
      </x:c>
      <x:c r="K15" s="48"/>
      <x:c r="L15" s="48" t="str">
        <x:v>S20</x:v>
      </x:c>
      <x:c r="M15" s="48" t="str">
        <x:v>Hristo</x:v>
      </x:c>
      <x:c r="N15" s="58" t="n">
        <x:v>46302</x:v>
      </x:c>
      <x:c r="O15" s="54" t="str"/>
    </x:row>
    <x:row r="16" ht="76" customHeight="1">
      <x:c r="A16" s="44" t="str">
        <x:v>PROD-008</x:v>
      </x:c>
      <x:c r="B16" s="44" t="str">
        <x:v>LOCAL PROD</x:v>
      </x:c>
      <x:c r="C16" s="44" t="str">
        <x:v>P1 - Required</x:v>
      </x:c>
      <x:c r="D16" s="44" t="str">
        <x:v>Profile/settings separation</x:v>
      </x:c>
      <x:c r="E16" s="48" t="str">
        <x:v>Pass</x:v>
      </x:c>
      <x:c r="F16" s="48" t="str">
        <x:v>PREVIOUS RESULT: Blocked. HUMAN TEST REQUIRED: compare profile/settings between preview and DEV after the preview server is reachable; localhost:4173 refused/timed out.
NEW RESULT: FAIL; COMPLETED.
REASON: FAIL: score296 persists on5192, but MUTE checked in settings reverts unchecked after reload. One clean second check reproduced. audio.settings is RAM-only; no product changes.
SCOPE: LOCAL PRODUCTION 5192
V3: Fail; retained V2 evidence, not rerun. Confirmed contradiction linked to V2-003.
Outstanding subchecks: After confirmed fix, rerun original expected result: Local persistence works for that origin; it need not match LIVE or DEV origin data.
Owner: Engineer. Next: Engineer addresses V2-003; Human tester retests listed assertions against confirmed fix and records actual evidence.
Session: V2-PROD; scope: LOCAL PRODUCTION 5192. See QA_FINALIZATION_V3_JOURNAL.json#PROD-008 and HANDOFF_AND_FIX_QUEUE.md.
4B.1 retest record (2026-10-06): Historical workbook status was Fail; no complete current-main retest in 4B.1, so this record is now Blocked pending fresh evidence. Prior actual/failure text is preserved below. This is not a newly reproduced failure and is not a fix claim.
FINAL AI 4B.2 (2026-10-07): BLOCKED — HUMAN TESTING REQUIRED [ENGINEERING_ACCESS].
Why AI did not finish: The required isolated profile, controlled storage fixture, cache-disable/deployment inspection or attributed console/network surface is unavailable. One capability inventory/readiness check was sufficient; no repeated unsupported attempts.
AI already proved: Current production preview MUTE checked, reloaded, PLAY→Pause→Settings still checked; restored unmuted. V2-003 persistence gap partly narrowed by actual production UI.
Remaining: Repeat in a newly created disposable native browser profile, verify master/music/SFX persistence and audible cue balance. Current IAB cannot create profile or certify audible behavior.
Human action (HQA-11): 1. Use LOCAL PROD; Engineer with disposable native browser profiles and controlled storage fixtures; never ordinary personal origin data. 2. Create a disposable QA/profile when changing saved state; launch qa:dev or qa:preview for the specified local environment and use the actual printed URL. 3. Execute only the remaining assertion: Repeat in a newly created disposable native browser profile, verify master/music/SFX persistence and audible cue balance. Current IAB cannot create profile or certify audible behavior.
Expected: Local persistence works for that origin; it need not match LIVE or DEV origin data.
Capture: Pass/Fail per ID, screenshot or timestamped video/state snapshot, device/OS/browser versions, viewport/zoom/DPR and a note; compare prior evidence instead of repeating proven subassertions.
Session/evidence: S19; QA_Evidence/observations.json. Full grouped instructions: HUMAN_QA_FINAL.md#hqa-11.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16" s="44"/>
      <x:c r="H16" s="44" t="str">
        <x:v>Record production-preview origin's settings and scores, reload.</x:v>
      </x:c>
      <x:c r="I16" s="44" t="str">
        <x:v>Local persistence works for that origin; it need not match LIVE or DEV origin data.</x:v>
      </x:c>
      <x:c r="J16" s="48" t="str">
        <x:v>C:/Users/mlgjm/OneDrive/Desktop/GameWebsite/outputs/qa-recovery-v2/QA_Evidence/prod-mute-recheck-before.png; C:/Users/mlgjm/OneDrive/Desktop/GameWebsite/outputs/qa-recovery-v2/QA_Evidence/prod-mute-recheck-after.png; C:/Users/mlgjm/OneDrive/Desktop/GameWebsite/outputs/qa-recovery-v2/QA_Evidence/prod-mute-recheck-after.txt; historical: C:/Users/mlgjm/OneDrive/Desktop/GameWebsite/outputs/qa-20261006/QA_Evidence/notes/browser-observations.md; V3 journal: C:/Users/mlgjm/OneDrive/Desktop/GameWebsite/outputs/qa-finalization-v3/QA_FINALIZATION_V3_JOURNAL.json#PROD-008; browser-observations.json; FINAL AI: C:/Users/mlgjm/OneDrive/Desktop/GameWebsite/outputs/qa-final-ai/2026-10-07_000739/QA_Evidence/observations.json
Human QA completion statement, 2026-10-07; prior AI evidence retained.</x:v>
      </x:c>
      <x:c r="K16" s="48" t="str">
        <x:v>V2-003</x:v>
      </x:c>
      <x:c r="L16" s="48" t="str">
        <x:v>S20</x:v>
      </x:c>
      <x:c r="M16" s="48" t="str">
        <x:v>Hristo</x:v>
      </x:c>
      <x:c r="N16" s="58" t="n">
        <x:v>46302</x:v>
      </x:c>
      <x:c r="O16" s="55" t="str"/>
    </x:row>
    <x:row r="17" ht="76" customHeight="1">
      <x:c r="A17" s="42" t="str">
        <x:v>PROD-009</x:v>
      </x:c>
      <x:c r="B17" s="42" t="str">
        <x:v>LOCAL PROD</x:v>
      </x:c>
      <x:c r="C17" s="42" t="str">
        <x:v>P1 - Required</x:v>
      </x:c>
      <x:c r="D17" s="42" t="str">
        <x:v>Built static metadata and assets</x:v>
      </x:c>
      <x:c r="E17" s="48" t="str">
        <x:v>Pass</x:v>
      </x:c>
      <x:c r="F17" s="48" t="str">
        <x:v>PREVIOUS RESULT: Pass. npm run verify:pages checked generated page metadata and static assets, including the production routes, sitemap, robots and social image.
NEW RESULT: PASS; COMPLETED.
REASON: Production verifier proves generated routes, metadata, sitemap, social image and assets.
SCOPE: LOCAL PROD BUILT ARTIFACT
V3: Pass; retained V2 evidence, not rerun. 
Session: V2-TERM; scope: LOCAL PROD BUILT ARTIFACT. See QA_FINALIZATION_V3_JOURNAL.json#PROD-009 and HANDOFF_AND_FIX_QUEUE.md.
Retained prior verified evidence — not rerun in Final AI pass.</x:v>
      </x:c>
      <x:c r="G17" s="42"/>
      <x:c r="H17" s="42" t="str">
        <x:v>View Source and inspect dist route HTML, sitemap, robots and social image.</x:v>
      </x:c>
      <x:c r="I17" s="42" t="str">
        <x:v>Correct generated static output present; no DEV source URLs or missing social image.</x:v>
      </x:c>
      <x:c r="J17" s="48" t="str">
        <x:v>C:/Users/mlgjm/OneDrive/Desktop/GameWebsite/outputs/qa-recovery-v2/QA_Evidence/verify-pages-unrestricted.log; historical: C:/Users/mlgjm/OneDrive/Desktop/GameWebsite/outputs/qa-20261006/QA_Evidence/notes/browser-observations.md; V3 journal: C:/Users/mlgjm/OneDrive/Desktop/GameWebsite/outputs/qa-finalization-v3/QA_FINALIZATION_V3_JOURNAL.json#PROD-009</x:v>
      </x:c>
      <x:c r="K17" s="48"/>
      <x:c r="L17" s="48" t="str">
        <x:v>V2-TERM</x:v>
      </x:c>
      <x:c r="M17" s="48" t="str">
        <x:v>Codex QA</x:v>
      </x:c>
      <x:c r="N17" s="58" t="n">
        <x:v>46301</x:v>
      </x:c>
      <x:c r="O17" s="54" t="str"/>
    </x:row>
    <x:row r="18" ht="76" customHeight="1">
      <x:c r="A18" s="44" t="str">
        <x:v>PROD-010</x:v>
      </x:c>
      <x:c r="B18" s="44" t="str">
        <x:v>LOCAL PROD</x:v>
      </x:c>
      <x:c r="C18" s="44" t="str">
        <x:v>P1 - Required</x:v>
      </x:c>
      <x:c r="D18" s="44" t="str">
        <x:v>Static 404 artifact</x:v>
      </x:c>
      <x:c r="E18" s="48" t="str">
        <x:v>Pass</x:v>
      </x:c>
      <x:c r="F18" s="48" t="str">
        <x:v>PREVIOUS RESULT: Pass. npm run verify:pages confirmed the built static 404 artifact is present and valid.
NEW RESULT: PASS; COMPLETED.
REASON: Verifier confirms branded script-free noindex static 404 artifact.
SCOPE: LOCAL PROD BUILT ARTIFACT
V3: Pass; retained V2 evidence, not rerun. 
Session: V2-TERM; scope: LOCAL PROD BUILT ARTIFACT. See QA_FINALIZATION_V3_JOURNAL.json#PROD-010 and HANDOFF_AND_FIX_QUEUE.md.
Retained prior verified evidence — not rerun in Final AI pass.</x:v>
      </x:c>
      <x:c r="G18" s="44" t="str">
        <x:v>Live HTTP404 tested in WEB sheet.</x:v>
      </x:c>
      <x:c r="H18" s="44" t="str">
        <x:v>Open dist/404.html via served /404.html and inspect content; test unknown preview route separately.</x:v>
      </x:c>
      <x:c r="I18" s="44" t="str">
        <x:v>Branded script-free noindex 404 artifact exists. Preview unknown-route status need not equal GitHub Pages behavior.</x:v>
      </x:c>
      <x:c r="J18" s="48" t="str">
        <x:v>C:/Users/mlgjm/OneDrive/Desktop/GameWebsite/outputs/qa-recovery-v2/QA_Evidence/verify-pages-unrestricted.log; historical: C:/Users/mlgjm/OneDrive/Desktop/GameWebsite/outputs/qa-20261006/QA_Evidence/notes/automated-results.md; V3 journal: C:/Users/mlgjm/OneDrive/Desktop/GameWebsite/outputs/qa-finalization-v3/QA_FINALIZATION_V3_JOURNAL.json#PROD-010</x:v>
      </x:c>
      <x:c r="K18" s="48"/>
      <x:c r="L18" s="48" t="str">
        <x:v>V2-TERM</x:v>
      </x:c>
      <x:c r="M18" s="48" t="str">
        <x:v>Codex QA</x:v>
      </x:c>
      <x:c r="N18" s="58" t="n">
        <x:v>46301</x:v>
      </x:c>
      <x:c r="O18" s="55" t="str"/>
    </x:row>
    <x:row r="19" ht="76" customHeight="1">
      <x:c r="A19" s="42" t="str">
        <x:v>PROD-011</x:v>
      </x:c>
      <x:c r="B19" s="42" t="str">
        <x:v>LOCAL PROD</x:v>
      </x:c>
      <x:c r="C19" s="42" t="str">
        <x:v>P1 - Required</x:v>
      </x:c>
      <x:c r="D19" s="42" t="str">
        <x:v>Hidden games publication boundary</x:v>
      </x:c>
      <x:c r="E19" s="48" t="str">
        <x:v>Pass</x:v>
      </x:c>
      <x:c r="F19" s="48" t="str">
        <x:v>PREVIOUS RESULT: Pass. npm run verify:pages confirmed only Orbit Break and Reactor Stack are public routes and in sitemap; hidden game routes returned 404.
NEW RESULT: PASS; COMPLETED.
REASON: Only two public game routes; three on-hold source builds retain embed assets.
SCOPE: LOCAL PROD BUILT ARTIFACT
V3: Pass; retained V2 evidence, not rerun. 
Session: V2-TERM; scope: LOCAL PROD BUILT ARTIFACT. See QA_FINALIZATION_V3_JOURNAL.json#PROD-011 and HANDOFF_AND_FIX_QUEUE.md.
Retained prior verified evidence — not rerun in Final AI pass.</x:v>
      </x:c>
      <x:c r="G19" s="42"/>
      <x:c r="H19" s="42" t="str">
        <x:v>Inspect cards/nav/sitemap/public game routes.</x:v>
      </x:c>
      <x:c r="I19" s="42" t="str">
        <x:v>Only Orbit/Reactor public. Known preserved embed assets not mistaken for private access control.</x:v>
      </x:c>
      <x:c r="J19" s="48" t="str">
        <x:v>C:/Users/mlgjm/OneDrive/Desktop/GameWebsite/outputs/qa-recovery-v2/QA_Evidence/verify-pages-unrestricted.log; historical: C:/Users/mlgjm/OneDrive/Desktop/GameWebsite/outputs/qa-20261006/QA_Evidence/notes/browser-observations.md; V3 journal: C:/Users/mlgjm/OneDrive/Desktop/GameWebsite/outputs/qa-finalization-v3/QA_FINALIZATION_V3_JOURNAL.json#PROD-011</x:v>
      </x:c>
      <x:c r="K19" s="48"/>
      <x:c r="L19" s="48" t="str">
        <x:v>V2-TERM</x:v>
      </x:c>
      <x:c r="M19" s="48" t="str">
        <x:v>Codex QA</x:v>
      </x:c>
      <x:c r="N19" s="58" t="n">
        <x:v>46301</x:v>
      </x:c>
      <x:c r="O19" s="54" t="str"/>
    </x:row>
    <x:row r="20" ht="76" customHeight="1">
      <x:c r="A20" s="44" t="str">
        <x:v>PROD-012</x:v>
      </x:c>
      <x:c r="B20" s="44" t="str">
        <x:v>LOCAL PROD</x:v>
      </x:c>
      <x:c r="C20" s="44" t="str">
        <x:v>P0 - Critical</x:v>
      </x:c>
      <x:c r="D20" s="44" t="str">
        <x:v>Resize and fullscreen parity</x:v>
      </x:c>
      <x:c r="E20" s="48" t="str">
        <x:v>Pass</x:v>
      </x:c>
      <x:c r="F20" s="48" t="str">
        <x:v>PREVIOUS RESULT: Blocked. Preview server at localhost:4173 refused/timed out during this continuation, so runtime resize/fullscreen parity could not be rechecked.
NEW RESULT: FAIL; COMPLETED.
REASON: Confirmed V2-004 in clean production5192: same five required responsive allocations select constrained layout and hide both power controls although one free charge each exists. Measured all thirteen exact viewports; no document overflow, but missing core controls fail parity requirement. Orbit/fullscreen portions are not claimed completed.
SCOPE: LOCAL PROD actual thirteen-size Reactor matrix
V3: Fail; retained V2 evidence, not rerun. Confirmed contradiction linked to V2-004.
Outstanding subchecks: After confirmed fix, rerun original expected result: No state loss/overflow or missing controls compared with intended public build. Other compound subchecks remain unverified: site navigation/footer, Controls/help, ads/courtesy where applicable, native fullscreen/pointer behavior and device input. Failure evidence establishes hidden powers/HUD only; V2 matrices retain covered states.
Owner: Engineer. Next: Engineer addresses V2-004; Human tester retests listed assertions against confirmed fix and records actual evidence.
Session: V2-PROD; scope: LOCAL PROD actual thirteen-size Reactor matrix. See QA_FINALIZATION_V3_JOURNAL.json#PROD-012 and HANDOFF_AND_FIX_QUEUE.md.
4B.1 retest record (2026-10-06): Reactor controls were visible and center-hit actionable at 320x800, 360x640, 640x360, 844x390, 932x430; no game-document scrolling. Pause/resume and one actual adjacent-cell move after resize preserved the run. Both games/fullscreen and complete parity still unverified.
FINAL AI 4B.2 (2026-10-07): BLOCKED — HUMAN TESTING REQUIRED [HUMAN_BROWSER].
Why AI did not finish: The supported browser API cannot certify native fullscreen/pointer mapping, browser zoom or the required second browser.
AI already proved: No complete independent evidence for the remaining assertions; historical observations remain in the workbook. Retained 4B.1: Reactor controls were visible and center-hit actionable at 320x800, 360x640, 640x360, 844x390, 932x430; no game-document scrolling. Pause/resume and one actual adjacent-cell move after resize preserved the run. Both games/fullscreen and complete parity still unverified.
Remaining: Repeat phone/laptop sizes and fullscreen on both built games.
Human action (HQA-07): 1. Use LOCAL PROD; Native Chrome or Edge supporting fullscreen, browser zoom and positioned pointer; physical rotation where listed. 2. Create a disposable QA/profile when changing saved state; launch qa:dev or qa:preview for the specified local environment and use the actual printed URL. 3. Execute only the remaining assertion: Repeat phone/laptop sizes and fullscreen on both built games.
Expected: No state loss/overflow or missing controls compared with intended public build.
Capture: Pass/Fail per ID, screenshot or timestamped video/state snapshot, device/OS/browser versions, viewport/zoom/DPR and a note; compare prior evidence instead of repeating proven subassertions.
Session/evidence: S19; Historical evidence retained; no fresh case execution claimed. Full grouped instructions: HUMAN_QA_FINAL.md#hqa-07.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20" s="44"/>
      <x:c r="H20" s="44" t="str">
        <x:v>Repeat phone/laptop sizes and fullscreen on both built games.</x:v>
      </x:c>
      <x:c r="I20" s="44" t="str">
        <x:v>No state loss/overflow or missing controls compared with intended public build.</x:v>
      </x:c>
      <x:c r="J20" s="48" t="str">
        <x:v>C:/Users/mlgjm/OneDrive/Desktop/GameWebsite/outputs/qa-recovery-v2/QA_Evidence/responsive-prod-reactor-matrix.json; C:/Users/mlgjm/OneDrive/Desktop/GameWebsite/outputs/qa-recovery-v2/QA_Evidence/responsive-prod-reactor-320x800.png; C:/Users/mlgjm/OneDrive/Desktop/GameWebsite/outputs/qa-recovery-v2/QA_Evidence/responsive-prod-reactor-640x360.png; historical: C:/Users/mlgjm/OneDrive/Desktop/GameWebsite/outputs/qa-20261006/QA_Evidence/notes/browser-observations.md; V3 journal: C:/Users/mlgjm/OneDrive/Desktop/GameWebsite/outputs/qa-finalization-v3/QA_FINALIZATION_V3_JOURNAL.json#PROD-012; reactor-prod-320x800.png; reactor-prod-360x640.png; reactor-prod-640x360.png; reactor-prod-844x390.png; reactor-prod-932x430.png
Human QA completion statement, 2026-10-07; prior AI evidence retained.</x:v>
      </x:c>
      <x:c r="K20" s="48" t="str">
        <x:v>V2-004</x:v>
      </x:c>
      <x:c r="L20" s="48" t="str">
        <x:v>S20</x:v>
      </x:c>
      <x:c r="M20" s="48" t="str">
        <x:v>Hristo</x:v>
      </x:c>
      <x:c r="N20" s="58" t="n">
        <x:v>46302</x:v>
      </x:c>
      <x:c r="O20" s="55" t="str"/>
    </x:row>
    <x:row r="21" ht="76" customHeight="1">
      <x:c r="A21" s="42" t="str">
        <x:v>PROD-013</x:v>
      </x:c>
      <x:c r="B21" s="42" t="str">
        <x:v>LOCAL PROD</x:v>
      </x:c>
      <x:c r="C21" s="42" t="str">
        <x:v>P0 - Critical</x:v>
      </x:c>
      <x:c r="D21" s="42" t="str">
        <x:v>Clean-browser Console and Network</x:v>
      </x:c>
      <x:c r="E21" s="48" t="str">
        <x:v>Pass</x:v>
      </x:c>
      <x:c r="F21" s="48" t="str">
        <x:v>PREVIOUS RESULT: Blocked. The production preview could not be opened in the browser; a clean runtime console/network baseline could not be captured.
NEW RESULT: PARTIAL; RUNNABLE.
REASON: Bothgamesplay despiteMutationObserver.observe errors with noURL/stack inIAB. Freshproductiontab reproducesmessage; source search findsnoMutationObserver construction. Attribution unresolved; normalbrowserconsole/network required. No blockingproducterror or newadnetworkclaim inferred.
SCOPE: LOCAL PRODUCTION IAB
V3: Blocked [TOOL_LIMITATION]. Proven already: Bothgamesplay despiteMutationObserver.observe errors with noURL/stack inIAB. Freshproductiontab reproducesmessage; source search findsnoMutationObserver construction. Attribution unresolved; normalbrowserconsole/network required. No blockingproducterror or newadnetworkclaim inferred.
Remaining: Normal-browser exact stack/URL and iframe network attribution for MutationObserver error; no blanket tooling dismissal.
Specific reason: Bothgamesplay despiteMutationObserver.observe errors with noURL/stack inIAB. Freshproductiontab reproducesmessage; source search findsnoMutationObserver construction. Attribution unresolved; normalbrowserconsole/network required. No blockingproducterror or newadnetworkclaim inferred.
Attempted this run: no. Owner: Engineer. Next step: Establish the specific required fixture/tool/runtime, then Human tester executes: Normal-browser exact stack/URL and iframe network attribution for MutationObserver error; no blanket tooling dismissal.
Session: V2-PROD; scope: LOCAL PRODUCTION IAB. See QA_FINALIZATION_V3_JOURNAL.json#PROD-013 and HANDOFF_AND_FIX_QUEUE.md.
4B.1 retest record (2026-10-06): Console read captured one uncaught MutationObserver TypeError at 2026-10-06T19:11:39.855Z with no source URL, in accumulated local-preview-period tab logs. A neighboring Phaser log references the preview origin; later LIVE Phaser info is separate. No fresh clear/reload or network capture; attribution and impact remain unresolved. Keep Blocked for fresh source-attributed console plus network evidence.
FINAL AI 4B.2 (2026-10-07): BLOCKED — HUMAN TESTING REQUIRED [ENGINEERING_ACCESS].
Why AI did not finish: The required isolated profile, controlled storage fixture, cache-disable/deployment inspection or attributed console/network surface is unavailable. One capability inventory/readiness check was sufficient; no repeated unsupported attempts.
AI already proved: Retained earlier partial evidence: Bothgamesplay despiteMutationObserver.observe errors with noURL/stack inIAB. Freshproductiontab reproducesmessage; source search findsnoMutationObserver construction. Attribution unresolved; normalbrowserconsole/network required. No blockingproducterror or newadnetworkclaim inferred. Retained 4B.1: Console read captured one uncaught MutationObserver TypeError at 2026-10-06T19:11:39.855Z with no source URL, in accumulated local-preview-period tab logs. A neighboring Phaser log references the preview origin; later LIVE Phaser info is separate. No fresh clear/reload or network capture; attribution and impact remain unresolved. Keep Blocked for fresh source-attributed console plus network evidence.
Remaining: Normal-browser exact stack/URL and iframe network attribution for MutationObserver error; no blanket tooling dismissal.
Human action (HQA-10): 1. Use LOCAL PROD; Engineer with native browser DevTools and GitHub Actions deployment read access. 2. Create a disposable QA/profile when changing saved state; launch qa:dev or qa:preview for the specified local environment and use the actual printed URL. 3. Execute only the remaining assertion: Normal-browser exact stack/URL and iframe network attribution for MutationObserver error; no blanket tooling dismissal.
Expected: No attributable blocking error/new third-party ad traffic; unresolved errors recorded, not assumed passed.
Capture: Pass/Fail per ID, screenshot or timestamped video/state snapshot, device/OS/browser versions, viewport/zoom/DPR and a note; compare prior evidence instead of repeating proven subassertions.
Session/evidence: S19; Historical evidence retained; no fresh case execution claimed. Full grouped instructions: HUMAN_QA_FINAL.md#hqa-10.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21" s="42"/>
      <x:c r="H21" s="42" t="str">
        <x:v>Clear logs, reload and use both games in normal browser.</x:v>
      </x:c>
      <x:c r="I21" s="42" t="str">
        <x:v>No attributable blocking error/new third-party ad traffic; unresolved errors recorded, not assumed passed.</x:v>
      </x:c>
      <x:c r="J21" s="48" t="str">
        <x:v>console-logs.json
Human QA completion statement, 2026-10-07; prior AI evidence retained.</x:v>
      </x:c>
      <x:c r="K21" s="48"/>
      <x:c r="L21" s="48" t="str">
        <x:v>S20</x:v>
      </x:c>
      <x:c r="M21" s="48" t="str">
        <x:v>Hristo</x:v>
      </x:c>
      <x:c r="N21" s="58" t="n">
        <x:v>46302</x:v>
      </x:c>
      <x:c r="O21" s="54" t="str"/>
    </x:row>
    <x:row r="22" ht="76" customHeight="1">
      <x:c r="A22" s="44" t="str">
        <x:v>PROD-014</x:v>
      </x:c>
      <x:c r="B22" s="44" t="str">
        <x:v>LOCAL PROD</x:v>
      </x:c>
      <x:c r="C22" s="44" t="str">
        <x:v>P0 - Critical</x:v>
      </x:c>
      <x:c r="D22" s="44" t="str">
        <x:v>Production guard matches artifact</x:v>
      </x:c>
      <x:c r="E22" s="48" t="str">
        <x:v>Pass</x:v>
      </x:c>
      <x:c r="F22" s="48" t="str">
        <x:v>PREVIOUS RESULT: Pass. npm run verify:ads-production passed after the build: 32 artifacts checked, Null provider present, mock UI/panel/courtesy/DEV config absent.
NEW RESULT: PASS; COMPLETED.
REASON: 32 production artifacts pass Null/mock/DEV leakage guard after fresh build.
SCOPE: LOCAL PROD BUILT ARTIFACT
V3: Pass; retained V2 evidence, not rerun. 
Session: V2-TERM; scope: LOCAL PROD BUILT ARTIFACT. See QA_FINALIZATION_V3_JOURNAL.json#PROD-014 and HANDOFF_AND_FIX_QUEUE.md.
Retained prior verified evidence — not rerun in Final AI pass.</x:v>
      </x:c>
      <x:c r="G22" s="44"/>
      <x:c r="H22" s="44" t="str">
        <x:v>Re-run verify:ads-production after the exact build being previewed.</x:v>
      </x:c>
      <x:c r="I22" s="44" t="str">
        <x:v>No hidden reliance on stale output or weakened exclusions.</x:v>
      </x:c>
      <x:c r="J22" s="48" t="str">
        <x:v>C:/Users/mlgjm/OneDrive/Desktop/GameWebsite/outputs/qa-recovery-v2/QA_Evidence/verify-ads-production.log; historical: C:/Users/mlgjm/OneDrive/Desktop/GameWebsite/outputs/qa-20261006/QA_Evidence/notes/browser-observations.md; V3 journal: C:/Users/mlgjm/OneDrive/Desktop/GameWebsite/outputs/qa-finalization-v3/QA_FINALIZATION_V3_JOURNAL.json#PROD-014</x:v>
      </x:c>
      <x:c r="K22" s="48"/>
      <x:c r="L22" s="48" t="str">
        <x:v>V2-TERM</x:v>
      </x:c>
      <x:c r="M22" s="48" t="str">
        <x:v>Codex QA</x:v>
      </x:c>
      <x:c r="N22" s="58" t="n">
        <x:v>46301</x:v>
      </x:c>
      <x:c r="O22" s="55" t="str"/>
    </x:row>
    <x:row r="23" ht="76" customHeight="1">
      <x:c r="A23" s="42" t="str">
        <x:v>PROD-015</x:v>
      </x:c>
      <x:c r="B23" s="42" t="str">
        <x:v>LOCAL PROD</x:v>
      </x:c>
      <x:c r="C23" s="42" t="str">
        <x:v>P1 - Required</x:v>
      </x:c>
      <x:c r="D23" s="42" t="str">
        <x:v>LIVE comparison after deployment</x:v>
      </x:c>
      <x:c r="E23" s="48" t="str">
        <x:v>Pass</x:v>
      </x:c>
      <x:c r="F23" s="48" t="str">
        <x:v>PREVIOUS RESULT: Blocked. HUMAN / ENVIRONMENT FOLLOW-UP REQUIRED: LIVE public routes and player controls were exercised, but preview runtime provenance could not be reconfirmed because localhost:4173 refused/timed out in this browser session. Remaining acceptance criteria were not established in this browser session; complete on the specified supported device/profile or with the missing deterministic setup, then update from direct evidence.
NEW RESULT: NOT_EXECUTED; RUNNABLE.
REASON: Existing evidence needs a targeted comparison against all expected assertions; no V2 browser execution yet.
SCOPE: Historical evidence only; V2 not executed
V3: Pass after scoped evidence comparison; historical executions, not rerun. Compared distinct public UI and observed behavior from actual V2 LIVE/PROD records: Orbit score/best/level/XP/stars, Quest/Locker/Scores/Play and pause/restart; Reactor containment board, heat, Initialize, Pause, Cool/Upgrade and Scores; matching portal Controls/reactions/fullscreen/nav/footer. LIVE and PROD suppress DEV controls/Why Ads/mock reward UI. Origin-local profile values differ as expected. This comparison retains actual runtime evidence; no new preview execution or universal gameplay equivalence claim.
Session: V2-PROD; scope: Explicit V2 multi-origin comparison; historical execution, V3 evidence review. See QA_FINALIZATION_V3_JOURNAL.json#PROD-015 and HANDOFF_AND_FIX_QUEUE.md.
Retained prior verified evidence — not rerun in Final AI pass.</x:v>
      </x:c>
      <x:c r="G23" s="42"/>
      <x:c r="H23" s="42" t="str">
        <x:v>Compare distinctive public UI/game behavior with official site, not DEV ads.</x:v>
      </x:c>
      <x:c r="I23" s="42" t="str">
        <x:v>Public site matches production features; missing DEV/mock features is expected, not a missing deployment.</x:v>
      </x:c>
      <x:c r="J23" s="48" t="str">
        <x:v>C:/Users/mlgjm/OneDrive/Desktop/GameWebsite/outputs/qa-20261006/QA_Evidence/notes/browser-observations.md; V2 reviewed: C:/Users/mlgjm/OneDrive/Desktop/GameWebsite/outputs/qa-recovery-v2/QA_Evidence/prod-orbit-no-dev.txt; C:/Users/mlgjm/OneDrive/Desktop/GameWebsite/outputs/qa-recovery-v2/QA_Evidence/prod-reactor-no-dev.txt; C:/Users/mlgjm/OneDrive/Desktop/GameWebsite/outputs/qa-recovery-v2/QA_Evidence/prod-orbit-restart-resume.txt; C:/Users/mlgjm/OneDrive/Desktop/GameWebsite/outputs/qa-recovery-v2/QA_Evidence/prod-reactor-active.txt; C:/Users/mlgjm/OneDrive/Desktop/GameWebsite/outputs/qa-recovery-v2/QA_Evidence/live-no-dev-shortcuts-v2.txt; C:/Users/mlgjm/OneDrive/Desktop/GameWebsite/outputs/qa-recovery-v2/QA_Evidence/live-orbit-play-button-start.txt; C:/Users/mlgjm/OneDrive/Desktop/GameWebsite/outputs/qa-recovery-v2/QA_Evidence/live-reactor-restart-v2.txt; V3 journal: C:/Users/mlgjm/OneDrive/Desktop/GameWebsite/outputs/qa-finalization-v3/QA_FINALIZATION_V3_JOURNAL.json#PROD-015</x:v>
      </x:c>
      <x:c r="K23" s="48"/>
      <x:c r="L23" s="48" t="str">
        <x:v>V2-PROD</x:v>
      </x:c>
      <x:c r="M23" s="48" t="str">
        <x:v>Codex QA</x:v>
      </x:c>
      <x:c r="N23" s="58" t="n">
        <x:v>46301</x:v>
      </x:c>
      <x:c r="O23" s="54" t="str"/>
    </x:row>
  </x:sheetData>
  <x:mergeCells>
    <x:mergeCell ref="A1:O2"/>
    <x:mergeCell ref="A3:O3"/>
    <x:mergeCell ref="A4:O4"/>
  </x:mergeCells>
  <x:conditionalFormatting sqref="E9:E23">
    <x:cfRule type="expression" dxfId="64" priority="1">
      <x:formula>$E9="Not run"</x:formula>
    </x:cfRule>
    <x:cfRule type="expression" dxfId="65" priority="2">
      <x:formula>$E9="In progress"</x:formula>
    </x:cfRule>
    <x:cfRule type="expression" dxfId="66" priority="3">
      <x:formula>$E9="Pass"</x:formula>
    </x:cfRule>
    <x:cfRule type="expression" dxfId="67" priority="4">
      <x:formula>$E9="Fail"</x:formula>
    </x:cfRule>
    <x:cfRule type="expression" dxfId="68" priority="5">
      <x:formula>$E9="Blocked"</x:formula>
    </x:cfRule>
    <x:cfRule type="expression" dxfId="69" priority="6">
      <x:formula>$E9="Retest due"</x:formula>
    </x:cfRule>
    <x:cfRule type="expression" dxfId="70" priority="7">
      <x:formula>$E9="N/A"</x:formula>
    </x:cfRule>
  </x:conditionalFormatting>
  <x:conditionalFormatting sqref="C9:C23">
    <x:cfRule type="expression" dxfId="71" priority="8">
      <x:formula>$C9="P0 - Critical"</x:formula>
    </x:cfRule>
  </x:conditionalFormatting>
  <x:dataValidations count="3">
    <x:dataValidation type="list" sqref="E9:E23">
      <x:formula1>"Not run,In progress,Pass,Fail,Blocked,Retest due,N/A"</x:formula1>
    </x:dataValidation>
    <x:dataValidation type="list" sqref="C9:C23">
      <x:formula1>"P0 - Critical,P1 - Required,P2 - Polish"</x:formula1>
    </x:dataValidation>
    <x:dataValidation type="list" sqref="L9:L23">
      <x:formula1>'Sessions'!$A$9:$A$38</x:formula1>
    </x:dataValidation>
  </x:dataValidations>
  <x:pageMargins left="0.7" right="0.7" top="0.75" bottom="0.75" header="0.3" footer="0.3"/>
  <x:tableParts count="1">
    <x:tablePart xmlns:r="http://schemas.openxmlformats.org/officeDocument/2006/relationships" r:id="Re665c59426a34164"/>
  </x:tableParts>
</x:worksheet>
</file>

<file path=xl/worksheets/sheet13.xml><?xml version="1.0" encoding="utf-8"?>
<x:worksheet xmlns:x="http://schemas.openxmlformats.org/spreadsheetml/2006/main">
  <x:sheetFormatPr defaultRowHeight="15"/>
  <x:cols>
    <x:col min="1" max="1" width="13" hidden="0" customWidth="1"/>
    <x:col min="2" max="2" width="20" hidden="0" customWidth="1"/>
    <x:col min="3" max="3" width="19" hidden="0" customWidth="1"/>
    <x:col min="4" max="4" width="36" hidden="0" customWidth="1"/>
    <x:col min="5" max="5" width="18" hidden="0" customWidth="1"/>
    <x:col min="6" max="6" width="38" hidden="0" customWidth="1"/>
    <x:col min="7" max="7" width="36" hidden="0" customWidth="1"/>
    <x:col min="8" max="8" width="40" hidden="0" customWidth="1"/>
    <x:col min="9" max="9" width="40" hidden="0" customWidth="1"/>
    <x:col min="10" max="10" width="28" hidden="0" customWidth="1"/>
    <x:col min="11" max="11" width="16" hidden="0" customWidth="1"/>
    <x:col min="12" max="12" width="15" hidden="0" customWidth="1"/>
    <x:col min="13" max="13" width="18" hidden="0" customWidth="1"/>
    <x:col min="14" max="14" width="14" hidden="0" customWidth="1"/>
    <x:col min="15" max="15" width="35" hidden="0" customWidth="1"/>
  </x:cols>
  <x:sheetData>
    <x:row r="1">
      <x:c r="A1" s="14" t="str">
        <x:v>DEVICE MATRIX | PRODUCT QA</x:v>
      </x:c>
      <x:c r="B1" s="14"/>
      <x:c r="C1" s="14"/>
      <x:c r="D1" s="14"/>
      <x:c r="E1" s="14"/>
      <x:c r="F1" s="14"/>
      <x:c r="G1" s="14"/>
      <x:c r="H1" s="14"/>
      <x:c r="I1" s="14"/>
      <x:c r="J1" s="14"/>
      <x:c r="K1" s="14"/>
      <x:c r="L1" s="14"/>
      <x:c r="M1" s="14"/>
      <x:c r="N1" s="14"/>
      <x:c r="O1" s="14"/>
    </x:row>
    <x:row r="2">
      <x:c r="A2" s="14"/>
      <x:c r="B2" s="14"/>
      <x:c r="C2" s="14"/>
      <x:c r="D2" s="14"/>
      <x:c r="E2" s="14"/>
      <x:c r="F2" s="14"/>
      <x:c r="G2" s="14"/>
      <x:c r="H2" s="14"/>
      <x:c r="I2" s="14"/>
      <x:c r="J2" s="14"/>
      <x:c r="K2" s="14"/>
      <x:c r="L2" s="14"/>
      <x:c r="M2" s="14"/>
      <x:c r="N2" s="14"/>
      <x:c r="O2" s="14"/>
    </x:row>
    <x:row r="3" ht="24" customHeight="1">
      <x:c r="A3" s="19" t="str">
        <x:v>Baseline 42e8b200 | 34 tests | No results pre-approved | P0/P1 must be resolved before product sign-off</x:v>
      </x:c>
      <x:c r="B3" s="19"/>
      <x:c r="C3" s="19"/>
      <x:c r="D3" s="19"/>
      <x:c r="E3" s="19"/>
      <x:c r="F3" s="19"/>
      <x:c r="G3" s="19"/>
      <x:c r="H3" s="19"/>
      <x:c r="I3" s="19"/>
      <x:c r="J3" s="19"/>
      <x:c r="K3" s="19"/>
      <x:c r="L3" s="19"/>
      <x:c r="M3" s="19"/>
      <x:c r="N3" s="19"/>
      <x:c r="O3" s="19"/>
    </x:row>
    <x:row r="4" ht="24" customHeight="1">
      <x:c r="A4" s="22" t="str">
        <x:v>Fill Status, Actual result, Evidence, Bug ID, Session, Tester and Date. Filters available on row 8. N/A needs a reason; missing hardware is Blocked.</x:v>
      </x:c>
      <x:c r="B4" s="22"/>
      <x:c r="C4" s="22"/>
      <x:c r="D4" s="22"/>
      <x:c r="E4" s="22"/>
      <x:c r="F4" s="22"/>
      <x:c r="G4" s="22"/>
      <x:c r="H4" s="22"/>
      <x:c r="I4" s="22"/>
      <x:c r="J4" s="22"/>
      <x:c r="K4" s="22"/>
      <x:c r="L4" s="22"/>
      <x:c r="M4" s="22"/>
      <x:c r="N4" s="22"/>
      <x:c r="O4" s="22"/>
    </x:row>
    <x:row r="5">
      <x:c r="A5" s="10"/>
      <x:c r="B5" s="10"/>
      <x:c r="C5" s="10"/>
      <x:c r="D5" s="10"/>
      <x:c r="E5" s="10"/>
      <x:c r="F5" s="10"/>
      <x:c r="G5" s="10"/>
      <x:c r="H5" s="10"/>
      <x:c r="I5" s="10"/>
      <x:c r="J5" s="10"/>
      <x:c r="K5" s="10"/>
      <x:c r="L5" s="10"/>
      <x:c r="M5" s="10"/>
      <x:c r="N5" s="10"/>
      <x:c r="O5" s="10"/>
    </x:row>
    <x:row r="6" ht="23" customHeight="1">
      <x:c r="A6" s="25" t="str">
        <x:v>TOTAL</x:v>
      </x:c>
      <x:c r="B6" s="25" t="n">
        <x:f>COUNTA(A9:A42)</x:f>
        <x:v>34</x:v>
      </x:c>
      <x:c r="C6" s="25" t="str">
        <x:v>PASS</x:v>
      </x:c>
      <x:c r="D6" s="25" t="n">
        <x:f>COUNTIF(E9:E42,"Pass")</x:f>
        <x:v>31</x:v>
      </x:c>
      <x:c r="E6" s="25" t="str">
        <x:v>FAIL</x:v>
      </x:c>
      <x:c r="F6" s="25" t="n">
        <x:f>COUNTIF(E9:E42,"Fail")</x:f>
        <x:v>2</x:v>
      </x:c>
      <x:c r="G6" s="25" t="str">
        <x:v>BLOCKED</x:v>
      </x:c>
      <x:c r="H6" s="25" t="n">
        <x:f>COUNTIF(E9:E42,"Blocked")</x:f>
        <x:v>0</x:v>
      </x:c>
      <x:c r="I6" s="25" t="str">
        <x:v>NOT RUN</x:v>
      </x:c>
      <x:c r="J6" s="25" t="n">
        <x:f>COUNTIF(E9:E42,"Not run")</x:f>
        <x:v>0</x:v>
      </x:c>
      <x:c r="K6" s="25" t="str">
        <x:v>EXECUTED</x:v>
      </x:c>
      <x:c r="L6" s="28" t="n">
        <x:f>IFERROR((COUNTIF(E9:E42,"Pass")+COUNTIF(E9:E42,"Fail")+COUNTIF(E9:E42,"N/A"))/COUNTA(A9:A42),0)</x:f>
        <x:v>1</x:v>
      </x:c>
      <x:c r="M6" s="10"/>
      <x:c r="N6" s="10"/>
      <x:c r="O6" s="10"/>
    </x:row>
    <x:row r="7">
      <x:c r="A7" s="10"/>
      <x:c r="B7" s="10"/>
      <x:c r="C7" s="10"/>
      <x:c r="D7" s="10"/>
      <x:c r="E7" s="10"/>
      <x:c r="F7" s="10"/>
      <x:c r="G7" s="10"/>
      <x:c r="H7" s="10"/>
      <x:c r="I7" s="10"/>
      <x:c r="J7" s="10"/>
      <x:c r="K7" s="10"/>
      <x:c r="L7" s="10"/>
      <x:c r="M7" s="10"/>
      <x:c r="N7" s="10"/>
      <x:c r="O7" s="10"/>
    </x:row>
    <x:row r="8" ht="32" customHeight="1">
      <x:c r="A8" s="33" t="str">
        <x:v>Test ID</x:v>
      </x:c>
      <x:c r="B8" s="33" t="str">
        <x:v>Environment</x:v>
      </x:c>
      <x:c r="C8" s="33" t="str">
        <x:v>Priority</x:v>
      </x:c>
      <x:c r="D8" s="33" t="str">
        <x:v>Test / feature</x:v>
      </x:c>
      <x:c r="E8" s="33" t="str">
        <x:v>Status</x:v>
      </x:c>
      <x:c r="F8" s="33" t="str">
        <x:v>Actual result / notes</x:v>
      </x:c>
      <x:c r="G8" s="33" t="str">
        <x:v>Setup / caution</x:v>
      </x:c>
      <x:c r="H8" s="33" t="str">
        <x:v>Steps to perform</x:v>
      </x:c>
      <x:c r="I8" s="33" t="str">
        <x:v>Expected result</x:v>
      </x:c>
      <x:c r="J8" s="33" t="str">
        <x:v>Evidence link / file</x:v>
      </x:c>
      <x:c r="K8" s="33" t="str">
        <x:v>Bug ID(s)</x:v>
      </x:c>
      <x:c r="L8" s="33" t="str">
        <x:v>Session ID</x:v>
      </x:c>
      <x:c r="M8" s="33" t="str">
        <x:v>Tester</x:v>
      </x:c>
      <x:c r="N8" s="33" t="str">
        <x:v>Test date</x:v>
      </x:c>
      <x:c r="O8" s="33" t="str">
        <x:v>Source / baseline reference</x:v>
      </x:c>
    </x:row>
    <x:row r="9" ht="85" customHeight="1">
      <x:c r="A9" s="42" t="str">
        <x:v>MOB-001</x:v>
      </x:c>
      <x:c r="B9" s="42" t="str">
        <x:v>LIVE</x:v>
      </x:c>
      <x:c r="C9" s="42" t="str">
        <x:v>P1 - Required</x:v>
      </x:c>
      <x:c r="D9" s="42" t="str">
        <x:v>LIVE • 320×800 • Portrait stress</x:v>
      </x:c>
      <x:c r="E9" s="48" t="str">
        <x:v>Pass</x:v>
      </x:c>
      <x:c r="F9" s="48" t="str">
        <x:v>PREVIOUS RESULT: Blocked. HUMAN / ENVIRONMENT FOLLOW-UP REQUIRED: LIVE 320×800 desktop-emulated viewport: header links and theme controls remained visible; homepage content fit the width without visible horizontal overflow. Physical device not tested. Remaining acceptance criteria were not established in this browser session; complete on the specified supported device/profile or with the missing deterministic setup, then update from direct evidence.
NEW RESULT: FAIL; COMPLETED.
REASON: Confirmed V2-004: Reactor allocated iframe below280px selects constrained layout and hides both Cool/Upgrade and the stability/move HUD, with no alternative power controls. Observed required320×800,360×640,640×360,844×390,932×430. Fresh LIVE320×800 reload+Initialize reproduced one free charge each in zero-size buttons. Other-game/fullscreen assertions remain separate; this failed essential-control assertion is sufficient for Fail.
SCOPE: LIVE desktop viewport emulation + source-correlated constrained selector
V3: Fail; retained V2 evidence, not rerun. Confirmed contradiction linked to V2-004.
Outstanding subchecks: After confirmed fix, rerun original expected result: No horizontal website overflow or game-document scrolling/clipping. Gameplay controls remain usable; website may scroll below game; scoped panels may scroll. No state reset on resizing. Other compound subchecks remain unverified: site navigation/footer, Controls/help, ads/courtesy where applicable, native fullscreen/pointer behavior and device input. Failure evidence establishes hidden powers/HUD only; V2 matrices retain covered states.
Owner: Engineer. Next: Engineer addresses V2-004; Human tester retests listed assertions against confirmed fix and records actual evidence.
Session: V2-LIVE; scope: LIVE desktop viewport emulation + source-correlated constrained selector. See QA_FINALIZATION_V3_JOURNAL.json#MOB-001 and HANDOFF_AND_FIX_QUEUE.md.
4B.1 retest record (2026-10-06): Historical workbook status was Fail; no complete current-main retest in 4B.1, so this record is now Blocked pending fresh evidence. Prior actual/failure text is preserved below. This is not a newly reproduced failure and is not a fix claim.
FINAL AI 4B.2 (2026-10-07): BLOCKED — HUMAN TESTING REQUIRED [HUMAN_BROWSER].
Why AI did not finish: The supported browser API cannot certify native fullscreen/pointer mapping, browser zoom or the required second browser.
AI already proved: LIVE both games: requested viewport matched measured viewport. Menu/active/Pause/Controls checked without reload; no horizontal host overflow or game-document scroll and Orbit score increased without resize reset. Exact dimensions/control rectangles in viewport-matrix.json. LIVE home/nav/footer also measured at exact required size: no horizontal overflow, nav/footer links within width.
Remaining: Native browser fullscreen and pointer mapping at 320×800 remain. Use supported Chrome/Edge player Fullscreen during play and pause, exercise controls and exit; ensure state preserved and no clipping/scroll. Retained V2 menu/active/paused/result evidence and new Controls/home geometry need not be repeated.
Human action (HQA-22): 1. Use LIVE; Native browser responsive viewport, 100% zoom/DPR noted; physical input handled separately. 2. Emulation result only unless actual hardware used. Complete public game tests separately. 3. Execute only the remaining assertion: Native browser fullscreen and pointer mapping at 320×800 remain. Use supported Chrome/Edge player Fullscreen during play and pause, exercise controls and exit; ensure state preserved and no clipping/scroll. Retained V2 menu/active/paused/result evidence and new Controls/home geometry need not be repeated.
Expected: No horizontal website overflow or game-document scrolling/clipping. Gameplay controls remain usable; website may scroll below game; scoped panels may scroll. No state reset on resizing.
Capture: Pass/Fail per ID, screenshot or timestamped video/state snapshot, device/OS/browser versions, viewport/zoom/DPR and a note; compare prior evidence instead of repeating proven subassertions.
Session/evidence: S17; QA_Evidence/observations.json. Full grouped instructions: HUMAN_QA_FINAL.md#hqa-22.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9" s="42" t="str">
        <x:v>Emulation result only unless actual hardware used. Complete public game tests separately.</x:v>
      </x:c>
      <x:c r="H9" s="42" t="str">
        <x:v>Set browser viewport 320×800. Test home/nav/footer and BOTH games. Record actual iframe width×height, browser/device, zoom and evidence. Test menu, active game, Pause, result, Controls and player fullscreen.</x:v>
      </x:c>
      <x:c r="I9" s="42" t="str">
        <x:v>No horizontal website overflow or game-document scrolling/clipping. Gameplay controls remain usable; website may scroll below game; scoped panels may scroll. No state reset on resizing.</x:v>
      </x:c>
      <x:c r="J9" s="48" t="str">
        <x:v>C:/Users/mlgjm/OneDrive/Desktop/GameWebsite/outputs/qa-recovery-v2/QA_Evidence/responsive-live-reactor-active-matrix.json; C:/Users/mlgjm/OneDrive/Desktop/GameWebsite/outputs/qa-recovery-v2/QA_Evidence/reactor-hidden-powers-clean-repro.json; C:/Users/mlgjm/OneDrive/Desktop/GameWebsite/outputs/qa-recovery-v2/QA_Evidence/reactor-hidden-powers-clean-repro.png; C:/Users/mlgjm/OneDrive/Desktop/GameWebsite/outputs/qa-recovery-v2/QA_Evidence/responsive-live-reactor-active-640x360.png; historical: C:/Users/mlgjm/OneDrive/Desktop/GameWebsite/outputs/qa-20261006/QA_Evidence/notes/browser-observations.md; V3 journal: C:/Users/mlgjm/OneDrive/Desktop/GameWebsite/outputs/qa-finalization-v3/QA_FINALIZATION_V3_JOURNAL.json#MOB-001; browser-observations.json; FINAL AI: C:/Users/mlgjm/OneDrive/Desktop/GameWebsite/outputs/qa-final-ai/2026-10-07_000739/QA_Evidence/observations.json
Human QA completion statement, 2026-10-07; prior AI evidence retained.</x:v>
      </x:c>
      <x:c r="K9" s="48" t="str">
        <x:v>V2-004</x:v>
      </x:c>
      <x:c r="L9" s="48" t="str">
        <x:v>S20</x:v>
      </x:c>
      <x:c r="M9" s="48" t="str">
        <x:v>Hristo</x:v>
      </x:c>
      <x:c r="N9" s="58" t="n">
        <x:v>46302</x:v>
      </x:c>
      <x:c r="O9" s="54" t="str"/>
    </x:row>
    <x:row r="10" ht="85" customHeight="1">
      <x:c r="A10" s="44" t="str">
        <x:v>MOB-002</x:v>
      </x:c>
      <x:c r="B10" s="44" t="str">
        <x:v>LIVE</x:v>
      </x:c>
      <x:c r="C10" s="44" t="str">
        <x:v>P0 - Critical</x:v>
      </x:c>
      <x:c r="D10" s="44" t="str">
        <x:v>LIVE • 360×640 • Minimum phone portrait</x:v>
      </x:c>
      <x:c r="E10" s="48" t="str">
        <x:v>Pass</x:v>
      </x:c>
      <x:c r="F10" s="48" t="str">
        <x:v>PREVIOUS RESULT: Blocked. HUMAN / ENVIRONMENT FOLLOW-UP REQUIRED: LIVE 360×640 desktop-emulated viewport: header links, hero copy and play CTA remained visible; no visible horizontal overflow. Physical device not tested. Remaining acceptance criteria were not established in this browser session; complete on the specified supported device/profile or with the missing deterministic setup, then update from direct evidence.
NEW RESULT: FAIL; COMPLETED.
REASON: Confirmed V2-004: Reactor allocated iframe below280px selects constrained layout and hides both Cool/Upgrade and the stability/move HUD, with no alternative power controls. Observed required320×800,360×640,640×360,844×390,932×430. Fresh LIVE320×800 reload+Initialize reproduced one free charge each in zero-size buttons. Other-game/fullscreen assertions remain separate; this failed essential-control assertion is sufficient for Fail.
SCOPE: LIVE desktop viewport emulation + source-correlated constrained selector
V3: Fail; retained V2 evidence, not rerun. Confirmed contradiction linked to V2-004.
Outstanding subchecks: After confirmed fix, rerun original expected result: No horizontal website overflow or game-document scrolling/clipping. Gameplay controls remain usable; website may scroll below game; scoped panels may scroll. No state reset on resizing. Other compound subchecks remain unverified: site navigation/footer, Controls/help, ads/courtesy where applicable, native fullscreen/pointer behavior and device input. Failure evidence establishes hidden powers/HUD only; V2 matrices retain covered states.
Owner: Engineer. Next: Engineer addresses V2-004; Human tester retests listed assertions against confirmed fix and records actual evidence.
Session: V2-LIVE; scope: LIVE desktop viewport emulation + source-correlated constrained selector. See QA_FINALIZATION_V3_JOURNAL.json#MOB-002 and HANDOFF_AND_FIX_QUEUE.md.
4B.1 retest record (2026-10-06): Historical workbook status was Fail; no complete current-main retest in 4B.1, so this record is now Blocked pending fresh evidence. Prior actual/failure text is preserved below. This is not a newly reproduced failure and is not a fix claim.
FINAL AI 4B.2 (2026-10-07): BLOCKED — HUMAN TESTING REQUIRED [HUMAN_BROWSER].
Why AI did not finish: The supported browser API cannot certify native fullscreen/pointer mapping, browser zoom or the required second browser.
AI already proved: LIVE both games: requested viewport matched measured viewport. Menu/active/Pause/Controls checked without reload; no horizontal host overflow or game-document scroll and Orbit score increased without resize reset. Exact dimensions/control rectangles in viewport-matrix.json. LIVE home/nav/footer also measured at exact required size: no horizontal overflow, nav/footer links within width.
Remaining: Native browser fullscreen and pointer mapping at 360×640 remain. Use supported Chrome/Edge player Fullscreen during play and pause, exercise controls and exit; ensure state preserved and no clipping/scroll. Retained V2 menu/active/paused/result evidence and new Controls/home geometry need not be repeated.
Human action (HQA-22): 1. Use LIVE; Native browser responsive viewport, 100% zoom/DPR noted; physical input handled separately. 2. Emulation result only unless actual hardware used. Complete public game tests separately. 3. Execute only the remaining assertion: Native browser fullscreen and pointer mapping at 360×640 remain. Use supported Chrome/Edge player Fullscreen during play and pause, exercise controls and exit; ensure state preserved and no clipping/scroll. Retained V2 menu/active/paused/result evidence and new Controls/home geometry need not be repeated.
Expected: No horizontal website overflow or game-document scrolling/clipping. Gameplay controls remain usable; website may scroll below game; scoped panels may scroll. No state reset on resizing.
Capture: Pass/Fail per ID, screenshot or timestamped video/state snapshot, device/OS/browser versions, viewport/zoom/DPR and a note; compare prior evidence instead of repeating proven subassertions.
Session/evidence: S17; QA_Evidence/observations.json. Full grouped instructions: HUMAN_QA_FINAL.md#hqa-22.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10" s="44" t="str">
        <x:v>Emulation result only unless actual hardware used. Complete public game tests separately.</x:v>
      </x:c>
      <x:c r="H10" s="44" t="str">
        <x:v>Set browser viewport 360×640. Test home/nav/footer and BOTH games. Record actual iframe width×height, browser/device, zoom and evidence. Test menu, active game, Pause, result, Controls and player fullscreen.</x:v>
      </x:c>
      <x:c r="I10" s="44" t="str">
        <x:v>No horizontal website overflow or game-document scrolling/clipping. Gameplay controls remain usable; website may scroll below game; scoped panels may scroll. No state reset on resizing.</x:v>
      </x:c>
      <x:c r="J10" s="48" t="str">
        <x:v>C:/Users/mlgjm/OneDrive/Desktop/GameWebsite/outputs/qa-recovery-v2/QA_Evidence/responsive-live-reactor-active-matrix.json; C:/Users/mlgjm/OneDrive/Desktop/GameWebsite/outputs/qa-recovery-v2/QA_Evidence/reactor-hidden-powers-clean-repro.json; C:/Users/mlgjm/OneDrive/Desktop/GameWebsite/outputs/qa-recovery-v2/QA_Evidence/reactor-hidden-powers-clean-repro.png; C:/Users/mlgjm/OneDrive/Desktop/GameWebsite/outputs/qa-recovery-v2/QA_Evidence/responsive-live-reactor-active-640x360.png; historical: C:/Users/mlgjm/OneDrive/Desktop/GameWebsite/outputs/qa-20261006/QA_Evidence/notes/browser-observations.md; V3 journal: C:/Users/mlgjm/OneDrive/Desktop/GameWebsite/outputs/qa-finalization-v3/QA_FINALIZATION_V3_JOURNAL.json#MOB-002; browser-observations.json; FINAL AI: C:/Users/mlgjm/OneDrive/Desktop/GameWebsite/outputs/qa-final-ai/2026-10-07_000739/QA_Evidence/observations.json
Human QA completion statement, 2026-10-07; prior AI evidence retained.</x:v>
      </x:c>
      <x:c r="K10" s="48" t="str">
        <x:v>V2-004</x:v>
      </x:c>
      <x:c r="L10" s="48" t="str">
        <x:v>S20</x:v>
      </x:c>
      <x:c r="M10" s="48" t="str">
        <x:v>Hristo</x:v>
      </x:c>
      <x:c r="N10" s="58" t="n">
        <x:v>46302</x:v>
      </x:c>
      <x:c r="O10" s="55" t="str"/>
    </x:row>
    <x:row r="11" ht="85" customHeight="1">
      <x:c r="A11" s="42" t="str">
        <x:v>MOB-003</x:v>
      </x:c>
      <x:c r="B11" s="42" t="str">
        <x:v>LIVE</x:v>
      </x:c>
      <x:c r="C11" s="42" t="str">
        <x:v>P1 - Required</x:v>
      </x:c>
      <x:c r="D11" s="42" t="str">
        <x:v>LIVE • 390×844 • Phone portrait</x:v>
      </x:c>
      <x:c r="E11" s="48" t="str">
        <x:v>Pass</x:v>
      </x:c>
      <x:c r="F11" s="48" t="str">
        <x:v>PREVIOUS RESULT: Blocked. HUMAN / ENVIRONMENT FOLLOW-UP REQUIRED: LIVE 390×844 browser-emulated homepage screenshot: header, hero and CTA fit with no visible horizontal overflow. Physical/device game interactions remain unverified. Remaining acceptance criteria were not established in this browser session; complete on the specified supported device/profile or with the missing deterministic setup, then update from direct evidence.
NEW RESULT: PARTIAL; RUNNABLE.
REASON: Verified exact requested viewport on host-backed LIVE tab. Reactor PAUSED board retained its zero counters/free charges across all thirteen sizes; outer and game documents had no horizontal overflow or document scrolling. Screenshots retained. Both-game menu/active/result/Controls/fullscreen matrix is not yet complete.
SCOPE: LIVE desktop viewport emulation; Reactor paused phase only
V3: Blocked [EVIDENCE_GAP]. Proven already: Verified exact requested viewport on host-backed LIVE tab. Reactor PAUSED board retained its zero counters/free charges across all thirteen sizes; outer and game documents had no horizontal overflow or document scrolling. Screenshots retained. Both-game menu/active/result/Controls/fullscreen matrix is not yet complete. V3 evidence review correction: V2 also captured Reactor ACTIVE and RESULT, and Orbit MENU/ACTIVE/PAUSED/RESULT at every requested size; these phases are not untested.
Remaining: At this exact requested size: Home/navigation/footer, Controls/help, fullscreen pointer/layout and all unproven interactive controls/overlays. Retain V2 both-game phase matrices; physical touch remains separate.
Specific reason: No complete scoped evidence for this case before the bounded V3 pass; retain existing observations and execute only the listed missing assertions.
Attempted this run: no. Owner: Human tester. Next step: Human tester executes in the case environment: At this exact requested size: Home/navigation/footer, Controls/help, fullscreen pointer/layout and all unproven interactive controls/overlays. Retain V2 both-game phase matrices; physical touch remains separate.
Session: V2-LIVE; scope: LIVE desktop viewport emulation; Reactor paused phase only. See QA_FINALIZATION_V3_JOURNAL.json#MOB-003 and HANDOFF_AND_FIX_QUEUE.md.
FINAL AI 4B.2 (2026-10-07): BLOCKED — HUMAN TESTING REQUIRED [HUMAN_BROWSER].
Why AI did not finish: The supported browser API cannot certify native fullscreen/pointer mapping, browser zoom or the required second browser.
AI already proved: LIVE both games: requested viewport matched measured viewport. Menu/active/Pause/Controls checked without reload; no horizontal host overflow or game-document scroll and Orbit score increased without resize reset. Exact dimensions/control rectangles in viewport-matrix.json. LIVE home/nav/footer also measured at exact required size: no horizontal overflow, nav/footer links within width.
Remaining: Native browser fullscreen and pointer mapping at 390×844 remain. Use supported Chrome/Edge player Fullscreen during play and pause, exercise controls and exit; ensure state preserved and no clipping/scroll. Retained V2 menu/active/paused/result evidence and new Controls/home geometry need not be repeated.
Human action (HQA-22): 1. Use LIVE; Native browser responsive viewport, 100% zoom/DPR noted; physical input handled separately. 2. Emulation result only unless actual hardware used. Complete public game tests separately. 3. Execute only the remaining assertion: Native browser fullscreen and pointer mapping at 390×844 remain. Use supported Chrome/Edge player Fullscreen during play and pause, exercise controls and exit; ensure state preserved and no clipping/scroll. Retained V2 menu/active/paused/result evidence and new Controls/home geometry need not be repeated.
Expected: No horizontal website overflow or game-document scrolling/clipping. Gameplay controls remain usable; website may scroll below game; scoped panels may scroll. No state reset on resizing.
Capture: Pass/Fail per ID, screenshot or timestamped video/state snapshot, device/OS/browser versions, viewport/zoom/DPR and a note; compare prior evidence instead of repeating proven subassertions.
Session/evidence: S17; QA_Evidence/observations.json. Full grouped instructions: HUMAN_QA_FINAL.md#hqa-22.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11" s="42" t="str">
        <x:v>Emulation result only unless actual hardware used. Complete public game tests separately.</x:v>
      </x:c>
      <x:c r="H11" s="42" t="str">
        <x:v>Set browser viewport 390×844. Test home/nav/footer and BOTH games. Record actual iframe width×height, browser/device, zoom and evidence. Test menu, active game, Pause, result, Controls and player fullscreen.</x:v>
      </x:c>
      <x:c r="I11" s="42" t="str">
        <x:v>No horizontal website overflow or game-document scrolling/clipping. Gameplay controls remain usable; website may scroll below game; scoped panels may scroll. No state reset on resizing.</x:v>
      </x:c>
      <x:c r="J11" s="48" t="str">
        <x:v>C:/Users/mlgjm/OneDrive/Desktop/GameWebsite/outputs/qa-recovery-v2/QA_Evidence/responsive-live-reactor-paused-matrix.json; C:/Users/mlgjm/OneDrive/Desktop/GameWebsite/outputs/qa-recovery-v2/QA_Evidence/responsive-live-reactor-paused-390x844.png; historical: C:/Users/mlgjm/OneDrive/Desktop/GameWebsite/outputs/qa-20261006/QA_Evidence/notes/browser-observations.md; V2 reviewed: C:/Users/mlgjm/OneDrive/Desktop/GameWebsite/outputs/qa-recovery-v2/QA_Evidence/responsive-live-reactor-paused-matrix.json; C:/Users/mlgjm/OneDrive/Desktop/GameWebsite/outputs/qa-recovery-v2/QA_Evidence/responsive-live-reactor-active-matrix.json; C:/Users/mlgjm/OneDrive/Desktop/GameWebsite/outputs/qa-recovery-v2/QA_Evidence/responsive-live-reactor-result-matrix.json; C:/Users/mlgjm/OneDrive/Desktop/GameWebsite/outputs/qa-recovery-v2/QA_Evidence/responsive-live-orbit-menu-matrix.json; C:/Users/mlgjm/OneDrive/Desktop/GameWebsite/outputs/qa-recovery-v2/QA_Evidence/responsive-live-orbit-active-matrix.json; C:/Users/mlgjm/OneDrive/Desktop/GameWebsite/outputs/qa-recovery-v2/QA_Evidence/responsive-live-orbit-paused-matrix.json; C:/Users/mlgjm/OneDrive/Desktop/GameWebsite/outputs/qa-recovery-v2/QA_Evidence/responsive-live-orbit-result-matrix.json; V3 journal: C:/Users/mlgjm/OneDrive/Desktop/GameWebsite/outputs/qa-finalization-v3/QA_FINALIZATION_V3_JOURNAL.json#MOB-003; FINAL AI: C:/Users/mlgjm/OneDrive/Desktop/GameWebsite/outputs/qa-final-ai/2026-10-07_000739/QA_Evidence/observations.json
Human QA completion statement, 2026-10-07; prior AI evidence retained.</x:v>
      </x:c>
      <x:c r="K11" s="48"/>
      <x:c r="L11" s="48" t="str">
        <x:v>S20</x:v>
      </x:c>
      <x:c r="M11" s="48" t="str">
        <x:v>Hristo</x:v>
      </x:c>
      <x:c r="N11" s="58" t="n">
        <x:v>46302</x:v>
      </x:c>
      <x:c r="O11" s="54" t="str"/>
    </x:row>
    <x:row r="12" ht="85" customHeight="1">
      <x:c r="A12" s="44" t="str">
        <x:v>MOB-004</x:v>
      </x:c>
      <x:c r="B12" s="44" t="str">
        <x:v>LIVE</x:v>
      </x:c>
      <x:c r="C12" s="44" t="str">
        <x:v>P1 - Required</x:v>
      </x:c>
      <x:c r="D12" s="44" t="str">
        <x:v>LIVE • 412×915 • Phone portrait</x:v>
      </x:c>
      <x:c r="E12" s="48" t="str">
        <x:v>Pass</x:v>
      </x:c>
      <x:c r="F12" s="48" t="str">
        <x:v>PREVIOUS RESULT: Blocked. HUMAN / ENVIRONMENT FOLLOW-UP REQUIRED: LIVE 412×915 browser-emulated homepage screenshot: header, hero and CTA fit with no visible horizontal overflow. Physical/device game interactions remain unverified. Remaining acceptance criteria were not established in this browser session; complete on the specified supported device/profile or with the missing deterministic setup, then update from direct evidence.
NEW RESULT: PARTIAL; RUNNABLE.
REASON: Verified exact requested viewport on host-backed LIVE tab. Reactor PAUSED board retained its zero counters/free charges across all thirteen sizes; outer and game documents had no horizontal overflow or document scrolling. Screenshots retained. Both-game menu/active/result/Controls/fullscreen matrix is not yet complete.
SCOPE: LIVE desktop viewport emulation; Reactor paused phase only
V3: Blocked [EVIDENCE_GAP]. Proven already: Verified exact requested viewport on host-backed LIVE tab. Reactor PAUSED board retained its zero counters/free charges across all thirteen sizes; outer and game documents had no horizontal overflow or document scrolling. Screenshots retained. Both-game menu/active/result/Controls/fullscreen matrix is not yet complete. V3 evidence review correction: V2 also captured Reactor ACTIVE and RESULT, and Orbit MENU/ACTIVE/PAUSED/RESULT at every requested size; these phases are not untested.
Remaining: At this exact requested size: Home/navigation/footer, Controls/help, fullscreen pointer/layout and all unproven interactive controls/overlays. Retain V2 both-game phase matrices; physical touch remains separate.
Specific reason: No complete scoped evidence for this case before the bounded V3 pass; retain existing observations and execute only the listed missing assertions.
Attempted this run: no. Owner: Human tester. Next step: Human tester executes in the case environment: At this exact requested size: Home/navigation/footer, Controls/help, fullscreen pointer/layout and all unproven interactive controls/overlays. Retain V2 both-game phase matrices; physical touch remains separate.
Session: V2-LIVE; scope: LIVE desktop viewport emulation; Reactor paused phase only. See QA_FINALIZATION_V3_JOURNAL.json#MOB-004 and HANDOFF_AND_FIX_QUEUE.md.
FINAL AI 4B.2 (2026-10-07): BLOCKED — HUMAN TESTING REQUIRED [HUMAN_BROWSER].
Why AI did not finish: The supported browser API cannot certify native fullscreen/pointer mapping, browser zoom or the required second browser.
AI already proved: LIVE both games: requested viewport matched measured viewport. Menu/active/Pause/Controls checked without reload; no horizontal host overflow or game-document scroll and Orbit score increased without resize reset. Exact dimensions/control rectangles in viewport-matrix.json. LIVE home/nav/footer also measured at exact required size: no horizontal overflow, nav/footer links within width.
Remaining: Native browser fullscreen and pointer mapping at 412×915 remain. Use supported Chrome/Edge player Fullscreen during play and pause, exercise controls and exit; ensure state preserved and no clipping/scroll. Retained V2 menu/active/paused/result evidence and new Controls/home geometry need not be repeated.
Human action (HQA-22): 1. Use LIVE; Native browser responsive viewport, 100% zoom/DPR noted; physical input handled separately. 2. Emulation result only unless actual hardware used. Complete public game tests separately. 3. Execute only the remaining assertion: Native browser fullscreen and pointer mapping at 412×915 remain. Use supported Chrome/Edge player Fullscreen during play and pause, exercise controls and exit; ensure state preserved and no clipping/scroll. Retained V2 menu/active/paused/result evidence and new Controls/home geometry need not be repeated.
Expected: No horizontal website overflow or game-document scrolling/clipping. Gameplay controls remain usable; website may scroll below game; scoped panels may scroll. No state reset on resizing.
Capture: Pass/Fail per ID, screenshot or timestamped video/state snapshot, device/OS/browser versions, viewport/zoom/DPR and a note; compare prior evidence instead of repeating proven subassertions.
Session/evidence: S17; QA_Evidence/observations.json. Full grouped instructions: HUMAN_QA_FINAL.md#hqa-22.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12" s="44" t="str">
        <x:v>Emulation result only unless actual hardware used. Complete public game tests separately.</x:v>
      </x:c>
      <x:c r="H12" s="44" t="str">
        <x:v>Set browser viewport 412×915. Test home/nav/footer and BOTH games. Record actual iframe width×height, browser/device, zoom and evidence. Test menu, active game, Pause, result, Controls and player fullscreen.</x:v>
      </x:c>
      <x:c r="I12" s="44" t="str">
        <x:v>No horizontal website overflow or game-document scrolling/clipping. Gameplay controls remain usable; website may scroll below game; scoped panels may scroll. No state reset on resizing.</x:v>
      </x:c>
      <x:c r="J12" s="48" t="str">
        <x:v>C:/Users/mlgjm/OneDrive/Desktop/GameWebsite/outputs/qa-recovery-v2/QA_Evidence/responsive-live-reactor-paused-matrix.json; C:/Users/mlgjm/OneDrive/Desktop/GameWebsite/outputs/qa-recovery-v2/QA_Evidence/responsive-live-reactor-paused-412x915.png; historical: C:/Users/mlgjm/OneDrive/Desktop/GameWebsite/outputs/qa-20261006/QA_Evidence/notes/browser-observations.md; V2 reviewed: C:/Users/mlgjm/OneDrive/Desktop/GameWebsite/outputs/qa-recovery-v2/QA_Evidence/responsive-live-reactor-paused-matrix.json; C:/Users/mlgjm/OneDrive/Desktop/GameWebsite/outputs/qa-recovery-v2/QA_Evidence/responsive-live-reactor-active-matrix.json; C:/Users/mlgjm/OneDrive/Desktop/GameWebsite/outputs/qa-recovery-v2/QA_Evidence/responsive-live-reactor-result-matrix.json; C:/Users/mlgjm/OneDrive/Desktop/GameWebsite/outputs/qa-recovery-v2/QA_Evidence/responsive-live-orbit-menu-matrix.json; C:/Users/mlgjm/OneDrive/Desktop/GameWebsite/outputs/qa-recovery-v2/QA_Evidence/responsive-live-orbit-active-matrix.json; C:/Users/mlgjm/OneDrive/Desktop/GameWebsite/outputs/qa-recovery-v2/QA_Evidence/responsive-live-orbit-paused-matrix.json; C:/Users/mlgjm/OneDrive/Desktop/GameWebsite/outputs/qa-recovery-v2/QA_Evidence/responsive-live-orbit-result-matrix.json; V3 journal: C:/Users/mlgjm/OneDrive/Desktop/GameWebsite/outputs/qa-finalization-v3/QA_FINALIZATION_V3_JOURNAL.json#MOB-004; FINAL AI: C:/Users/mlgjm/OneDrive/Desktop/GameWebsite/outputs/qa-final-ai/2026-10-07_000739/QA_Evidence/observations.json
Human QA completion statement, 2026-10-07; prior AI evidence retained.</x:v>
      </x:c>
      <x:c r="K12" s="48"/>
      <x:c r="L12" s="48" t="str">
        <x:v>S20</x:v>
      </x:c>
      <x:c r="M12" s="48" t="str">
        <x:v>Hristo</x:v>
      </x:c>
      <x:c r="N12" s="58" t="n">
        <x:v>46302</x:v>
      </x:c>
      <x:c r="O12" s="55" t="str"/>
    </x:row>
    <x:row r="13" ht="85" customHeight="1">
      <x:c r="A13" s="42" t="str">
        <x:v>MOB-005</x:v>
      </x:c>
      <x:c r="B13" s="42" t="str">
        <x:v>LIVE</x:v>
      </x:c>
      <x:c r="C13" s="42" t="str">
        <x:v>P1 - Required</x:v>
      </x:c>
      <x:c r="D13" s="42" t="str">
        <x:v>LIVE • 430×932 • Phone portrait</x:v>
      </x:c>
      <x:c r="E13" s="48" t="str">
        <x:v>Pass</x:v>
      </x:c>
      <x:c r="F13" s="48" t="str">
        <x:v>PREVIOUS RESULT: Blocked. HUMAN / ENVIRONMENT FOLLOW-UP REQUIRED: LIVE 430×932 browser-emulated homepage screenshot: header, hero and CTA fit with no visible horizontal overflow. Physical/device game interactions remain unverified. Remaining acceptance criteria were not established in this browser session; complete on the specified supported device/profile or with the missing deterministic setup, then update from direct evidence.
NEW RESULT: PARTIAL; RUNNABLE.
REASON: Verified exact requested viewport on host-backed LIVE tab. Reactor PAUSED board retained its zero counters/free charges across all thirteen sizes; outer and game documents had no horizontal overflow or document scrolling. Screenshots retained. Both-game menu/active/result/Controls/fullscreen matrix is not yet complete.
SCOPE: LIVE desktop viewport emulation; Reactor paused phase only
V3: Blocked [EVIDENCE_GAP]. Proven already: Verified exact requested viewport on host-backed LIVE tab. Reactor PAUSED board retained its zero counters/free charges across all thirteen sizes; outer and game documents had no horizontal overflow or document scrolling. Screenshots retained. Both-game menu/active/result/Controls/fullscreen matrix is not yet complete. V3 evidence review correction: V2 also captured Reactor ACTIVE and RESULT, and Orbit MENU/ACTIVE/PAUSED/RESULT at every requested size; these phases are not untested.
Remaining: At this exact requested size: Home/navigation/footer, Controls/help, fullscreen pointer/layout and all unproven interactive controls/overlays. Retain V2 both-game phase matrices; physical touch remains separate.
Specific reason: No complete scoped evidence for this case before the bounded V3 pass; retain existing observations and execute only the listed missing assertions.
Attempted this run: no. Owner: Human tester. Next step: Human tester executes in the case environment: At this exact requested size: Home/navigation/footer, Controls/help, fullscreen pointer/layout and all unproven interactive controls/overlays. Retain V2 both-game phase matrices; physical touch remains separate.
Session: V2-LIVE; scope: LIVE desktop viewport emulation; Reactor paused phase only. See QA_FINALIZATION_V3_JOURNAL.json#MOB-005 and HANDOFF_AND_FIX_QUEUE.md.
FINAL AI 4B.2 (2026-10-07): BLOCKED — HUMAN TESTING REQUIRED [HUMAN_BROWSER].
Why AI did not finish: The supported browser API cannot certify native fullscreen/pointer mapping, browser zoom or the required second browser.
AI already proved: LIVE both games: requested viewport matched measured viewport. Menu/active/Pause/Controls checked without reload; no horizontal host overflow or game-document scroll and Orbit score increased without resize reset. Exact dimensions/control rectangles in viewport-matrix.json. LIVE home/nav/footer also measured at exact required size: no horizontal overflow, nav/footer links within width.
Remaining: Native browser fullscreen and pointer mapping at 430×932 remain. Use supported Chrome/Edge player Fullscreen during play and pause, exercise controls and exit; ensure state preserved and no clipping/scroll. Retained V2 menu/active/paused/result evidence and new Controls/home geometry need not be repeated.
Human action (HQA-22): 1. Use LIVE; Native browser responsive viewport, 100% zoom/DPR noted; physical input handled separately. 2. Emulation result only unless actual hardware used. Complete public game tests separately. 3. Execute only the remaining assertion: Native browser fullscreen and pointer mapping at 430×932 remain. Use supported Chrome/Edge player Fullscreen during play and pause, exercise controls and exit; ensure state preserved and no clipping/scroll. Retained V2 menu/active/paused/result evidence and new Controls/home geometry need not be repeated.
Expected: No horizontal website overflow or game-document scrolling/clipping. Gameplay controls remain usable; website may scroll below game; scoped panels may scroll. No state reset on resizing.
Capture: Pass/Fail per ID, screenshot or timestamped video/state snapshot, device/OS/browser versions, viewport/zoom/DPR and a note; compare prior evidence instead of repeating proven subassertions.
Session/evidence: S17; QA_Evidence/observations.json. Full grouped instructions: HUMAN_QA_FINAL.md#hqa-22.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13" s="42" t="str">
        <x:v>Emulation result only unless actual hardware used. Complete public game tests separately.</x:v>
      </x:c>
      <x:c r="H13" s="42" t="str">
        <x:v>Set browser viewport 430×932. Test home/nav/footer and BOTH games. Record actual iframe width×height, browser/device, zoom and evidence. Test menu, active game, Pause, result, Controls and player fullscreen.</x:v>
      </x:c>
      <x:c r="I13" s="42" t="str">
        <x:v>No horizontal website overflow or game-document scrolling/clipping. Gameplay controls remain usable; website may scroll below game; scoped panels may scroll. No state reset on resizing.</x:v>
      </x:c>
      <x:c r="J13" s="48" t="str">
        <x:v>C:/Users/mlgjm/OneDrive/Desktop/GameWebsite/outputs/qa-recovery-v2/QA_Evidence/responsive-live-reactor-paused-matrix.json; C:/Users/mlgjm/OneDrive/Desktop/GameWebsite/outputs/qa-recovery-v2/QA_Evidence/responsive-live-reactor-paused-430x932.png; historical: C:/Users/mlgjm/OneDrive/Desktop/GameWebsite/outputs/qa-20261006/QA_Evidence/notes/browser-observations.md; V2 reviewed: C:/Users/mlgjm/OneDrive/Desktop/GameWebsite/outputs/qa-recovery-v2/QA_Evidence/responsive-live-reactor-paused-matrix.json; C:/Users/mlgjm/OneDrive/Desktop/GameWebsite/outputs/qa-recovery-v2/QA_Evidence/responsive-live-reactor-active-matrix.json; C:/Users/mlgjm/OneDrive/Desktop/GameWebsite/outputs/qa-recovery-v2/QA_Evidence/responsive-live-reactor-result-matrix.json; C:/Users/mlgjm/OneDrive/Desktop/GameWebsite/outputs/qa-recovery-v2/QA_Evidence/responsive-live-orbit-menu-matrix.json; C:/Users/mlgjm/OneDrive/Desktop/GameWebsite/outputs/qa-recovery-v2/QA_Evidence/responsive-live-orbit-active-matrix.json; C:/Users/mlgjm/OneDrive/Desktop/GameWebsite/outputs/qa-recovery-v2/QA_Evidence/responsive-live-orbit-paused-matrix.json; C:/Users/mlgjm/OneDrive/Desktop/GameWebsite/outputs/qa-recovery-v2/QA_Evidence/responsive-live-orbit-result-matrix.json; V3 journal: C:/Users/mlgjm/OneDrive/Desktop/GameWebsite/outputs/qa-finalization-v3/QA_FINALIZATION_V3_JOURNAL.json#MOB-005; FINAL AI: C:/Users/mlgjm/OneDrive/Desktop/GameWebsite/outputs/qa-final-ai/2026-10-07_000739/QA_Evidence/observations.json
Human QA completion statement, 2026-10-07; prior AI evidence retained.</x:v>
      </x:c>
      <x:c r="K13" s="48"/>
      <x:c r="L13" s="48" t="str">
        <x:v>S20</x:v>
      </x:c>
      <x:c r="M13" s="48" t="str">
        <x:v>Hristo</x:v>
      </x:c>
      <x:c r="N13" s="58" t="n">
        <x:v>46302</x:v>
      </x:c>
      <x:c r="O13" s="54" t="str"/>
    </x:row>
    <x:row r="14" ht="85" customHeight="1">
      <x:c r="A14" s="44" t="str">
        <x:v>MOB-006</x:v>
      </x:c>
      <x:c r="B14" s="44" t="str">
        <x:v>LIVE</x:v>
      </x:c>
      <x:c r="C14" s="44" t="str">
        <x:v>P0 - Critical</x:v>
      </x:c>
      <x:c r="D14" s="44" t="str">
        <x:v>LIVE • 640×360 • Minimum landscape</x:v>
      </x:c>
      <x:c r="E14" s="48" t="str">
        <x:v>Pass</x:v>
      </x:c>
      <x:c r="F14" s="48" t="str">
        <x:v>PREVIOUS RESULT: Blocked. HUMAN / ENVIRONMENT FOLLOW-UP REQUIRED: LIVE 640×360 desktop-emulated viewport: navigation remained visible and hero content fit the viewport width; no visible horizontal overflow. Physical device not tested. Remaining acceptance criteria were not established in this browser session; complete on the specified supported device/profile or with the missing deterministic setup, then update from direct evidence.
NEW RESULT: FAIL; COMPLETED.
REASON: Confirmed V2-004: Reactor allocated iframe below280px selects constrained layout and hides both Cool/Upgrade and the stability/move HUD, with no alternative power controls. Observed required320×800,360×640,640×360,844×390,932×430. Fresh LIVE320×800 reload+Initialize reproduced one free charge each in zero-size buttons. Other-game/fullscreen assertions remain separate; this failed essential-control assertion is sufficient for Fail.
SCOPE: LIVE desktop viewport emulation + source-correlated constrained selector
V3: Fail; retained V2 evidence, not rerun. Confirmed contradiction linked to V2-004.
Outstanding subchecks: After confirmed fix, rerun original expected result: No horizontal website overflow or game-document scrolling/clipping. Gameplay controls remain usable; website may scroll below game; scoped panels may scroll. No state reset on resizing. Other compound subchecks remain unverified: site navigation/footer, Controls/help, ads/courtesy where applicable, native fullscreen/pointer behavior and device input. Failure evidence establishes hidden powers/HUD only; V2 matrices retain covered states.
Owner: Engineer. Next: Engineer addresses V2-004; Human tester retests listed assertions against confirmed fix and records actual evidence.
Session: V2-LIVE; scope: LIVE desktop viewport emulation + source-correlated constrained selector. See QA_FINALIZATION_V3_JOURNAL.json#MOB-006 and HANDOFF_AND_FIX_QUEUE.md.
4B.1 retest record (2026-10-06): Historical workbook status was Fail; no complete current-main retest in 4B.1, so this record is now Blocked pending fresh evidence. Prior actual/failure text is preserved below. This is not a newly reproduced failure and is not a fix claim.
FINAL AI 4B.2 (2026-10-07): BLOCKED — HUMAN TESTING REQUIRED [HUMAN_BROWSER].
Why AI did not finish: The supported browser API cannot certify native fullscreen/pointer mapping, browser zoom or the required second browser.
AI already proved: LIVE both games: requested viewport matched measured viewport. Menu/active/Pause/Controls checked without reload; no horizontal host overflow or game-document scroll and Orbit score increased without resize reset. Exact dimensions/control rectangles in viewport-matrix.json. LIVE home/nav/footer also measured at exact required size: no horizontal overflow, nav/footer links within width.
Remaining: Native browser fullscreen and pointer mapping at 640×360 remain. Use supported Chrome/Edge player Fullscreen during play and pause, exercise controls and exit; ensure state preserved and no clipping/scroll. Retained V2 menu/active/paused/result evidence and new Controls/home geometry need not be repeated.
Human action (HQA-22): 1. Use LIVE; Native browser responsive viewport, 100% zoom/DPR noted; physical input handled separately. 2. Emulation result only unless actual hardware used. Complete public game tests separately. 3. Execute only the remaining assertion: Native browser fullscreen and pointer mapping at 640×360 remain. Use supported Chrome/Edge player Fullscreen during play and pause, exercise controls and exit; ensure state preserved and no clipping/scroll. Retained V2 menu/active/paused/result evidence and new Controls/home geometry need not be repeated.
Expected: No horizontal website overflow or game-document scrolling/clipping. Gameplay controls remain usable; website may scroll below game; scoped panels may scroll. No state reset on resizing.
Capture: Pass/Fail per ID, screenshot or timestamped video/state snapshot, device/OS/browser versions, viewport/zoom/DPR and a note; compare prior evidence instead of repeating proven subassertions.
Session/evidence: S17; QA_Evidence/observations.json. Full grouped instructions: HUMAN_QA_FINAL.md#hqa-22. Historical Bug IDs are retained links, not current confirmed dependencies unless explicitly stated.
FINAL HUMAN QA (2026-10-07): PASS at the required 640×360 matrix size. Additional out-of-matrix observation: browser heights below ~360 CSS px can clip the game instead of continuing to resize; tracked under HQA-003.</x:v>
      </x:c>
      <x:c r="G14" s="44" t="str">
        <x:v>Emulation result only unless actual hardware used. Complete public game tests separately.</x:v>
      </x:c>
      <x:c r="H14" s="44" t="str">
        <x:v>Set browser viewport 640×360. Test home/nav/footer and BOTH games. Record actual iframe width×height, browser/device, zoom and evidence. Test menu, active game, Pause, result, Controls and player fullscreen.</x:v>
      </x:c>
      <x:c r="I14" s="44" t="str">
        <x:v>No horizontal website overflow or game-document scrolling/clipping. Gameplay controls remain usable; website may scroll below game; scoped panels may scroll. No state reset on resizing.</x:v>
      </x:c>
      <x:c r="J14" s="48" t="str">
        <x:v>C:/Users/mlgjm/OneDrive/Desktop/GameWebsite/outputs/qa-recovery-v2/QA_Evidence/responsive-live-reactor-active-matrix.json; C:/Users/mlgjm/OneDrive/Desktop/GameWebsite/outputs/qa-recovery-v2/QA_Evidence/reactor-hidden-powers-clean-repro.json; C:/Users/mlgjm/OneDrive/Desktop/GameWebsite/outputs/qa-recovery-v2/QA_Evidence/reactor-hidden-powers-clean-repro.png; C:/Users/mlgjm/OneDrive/Desktop/GameWebsite/outputs/qa-recovery-v2/QA_Evidence/responsive-live-reactor-active-640x360.png; historical: C:/Users/mlgjm/OneDrive/Desktop/GameWebsite/outputs/qa-20261006/QA_Evidence/notes/browser-observations.md; V3 journal: C:/Users/mlgjm/OneDrive/Desktop/GameWebsite/outputs/qa-finalization-v3/QA_FINALIZATION_V3_JOURNAL.json#MOB-006; browser-observations.json; FINAL AI: C:/Users/mlgjm/OneDrive/Desktop/GameWebsite/outputs/qa-final-ai/2026-10-07_000739/QA_Evidence/observations.json
Human QA completion statement, 2026-10-07; prior AI evidence retained.</x:v>
      </x:c>
      <x:c r="K14" s="48" t="str">
        <x:v>V2-004</x:v>
      </x:c>
      <x:c r="L14" s="48" t="str">
        <x:v>S20</x:v>
      </x:c>
      <x:c r="M14" s="48" t="str">
        <x:v>Hristo</x:v>
      </x:c>
      <x:c r="N14" s="58" t="n">
        <x:v>46302</x:v>
      </x:c>
      <x:c r="O14" s="55" t="str"/>
    </x:row>
    <x:row r="15" ht="85" customHeight="1">
      <x:c r="A15" s="42" t="str">
        <x:v>MOB-007</x:v>
      </x:c>
      <x:c r="B15" s="42" t="str">
        <x:v>LIVE</x:v>
      </x:c>
      <x:c r="C15" s="42" t="str">
        <x:v>P1 - Required</x:v>
      </x:c>
      <x:c r="D15" s="42" t="str">
        <x:v>LIVE • 844×390 • Phone landscape</x:v>
      </x:c>
      <x:c r="E15" s="48" t="str">
        <x:v>Pass</x:v>
      </x:c>
      <x:c r="F15" s="48" t="str">
        <x:v>PREVIOUS RESULT: Blocked. HUMAN / ENVIRONMENT FOLLOW-UP REQUIRED: LIVE 844×390 landscape-emulated homepage screenshot inspected; right-edge theme control/cropping is inconclusive at this viewport. Needs further verification. Remaining acceptance criteria were not established in this browser session; complete on the specified supported device/profile or with the missing deterministic setup, then update from direct evidence.
NEW RESULT: FAIL; COMPLETED.
REASON: Confirmed V2-004: Reactor allocated iframe below280px selects constrained layout and hides both Cool/Upgrade and the stability/move HUD, with no alternative power controls. Observed required320×800,360×640,640×360,844×390,932×430. Fresh LIVE320×800 reload+Initialize reproduced one free charge each in zero-size buttons. Other-game/fullscreen assertions remain separate; this failed essential-control assertion is sufficient for Fail.
SCOPE: LIVE desktop viewport emulation + source-correlated constrained selector
V3: Fail; retained V2 evidence, not rerun. Confirmed contradiction linked to V2-004.
Outstanding subchecks: After confirmed fix, rerun original expected result: No horizontal website overflow or game-document scrolling/clipping. Gameplay controls remain usable; website may scroll below game; scoped panels may scroll. No state reset on resizing. Other compound subchecks remain unverified: site navigation/footer, Controls/help, ads/courtesy where applicable, native fullscreen/pointer behavior and device input. Failure evidence establishes hidden powers/HUD only; V2 matrices retain covered states.
Owner: Engineer. Next: Engineer addresses V2-004; Human tester retests listed assertions against confirmed fix and records actual evidence.
Session: V2-LIVE; scope: LIVE desktop viewport emulation + source-correlated constrained selector. See QA_FINALIZATION_V3_JOURNAL.json#MOB-007 and HANDOFF_AND_FIX_QUEUE.md.
4B.1 retest record (2026-10-06): Historical workbook status was Fail; no complete current-main retest in 4B.1, so this record is now Blocked pending fresh evidence. Prior actual/failure text is preserved below. This is not a newly reproduced failure and is not a fix claim.
FINAL AI 4B.2 (2026-10-07): BLOCKED — HUMAN TESTING REQUIRED [HUMAN_BROWSER].
Why AI did not finish: The supported browser API cannot certify native fullscreen/pointer mapping, browser zoom or the required second browser.
AI already proved: LIVE both games: requested viewport matched measured viewport. Menu/active/Pause/Controls checked without reload; no horizontal host overflow or game-document scroll and Orbit score increased without resize reset. Exact dimensions/control rectangles in viewport-matrix.json. LIVE home/nav/footer also measured at exact required size: no horizontal overflow, nav/footer links within width.
Remaining: Native browser fullscreen and pointer mapping at 844×390 remain. Use supported Chrome/Edge player Fullscreen during play and pause, exercise controls and exit; ensure state preserved and no clipping/scroll. Retained V2 menu/active/paused/result evidence and new Controls/home geometry need not be repeated.
Human action (HQA-22): 1. Use LIVE; Native browser responsive viewport, 100% zoom/DPR noted; physical input handled separately. 2. Emulation result only unless actual hardware used. Complete public game tests separately. 3. Execute only the remaining assertion: Native browser fullscreen and pointer mapping at 844×390 remain. Use supported Chrome/Edge player Fullscreen during play and pause, exercise controls and exit; ensure state preserved and no clipping/scroll. Retained V2 menu/active/paused/result evidence and new Controls/home geometry need not be repeated.
Expected: No horizontal website overflow or game-document scrolling/clipping. Gameplay controls remain usable; website may scroll below game; scoped panels may scroll. No state reset on resizing.
Capture: Pass/Fail per ID, screenshot or timestamped video/state snapshot, device/OS/browser versions, viewport/zoom/DPR and a note; compare prior evidence instead of repeating proven subassertions.
Session/evidence: S17; QA_Evidence/observations.json. Full grouped instructions: HUMAN_QA_FINAL.md#hqa-22.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15" s="42" t="str">
        <x:v>Emulation result only unless actual hardware used. Complete public game tests separately.</x:v>
      </x:c>
      <x:c r="H15" s="42" t="str">
        <x:v>Set browser viewport 844×390. Test home/nav/footer and BOTH games. Record actual iframe width×height, browser/device, zoom and evidence. Test menu, active game, Pause, result, Controls and player fullscreen.</x:v>
      </x:c>
      <x:c r="I15" s="42" t="str">
        <x:v>No horizontal website overflow or game-document scrolling/clipping. Gameplay controls remain usable; website may scroll below game; scoped panels may scroll. No state reset on resizing.</x:v>
      </x:c>
      <x:c r="J15" s="48" t="str">
        <x:v>C:/Users/mlgjm/OneDrive/Desktop/GameWebsite/outputs/qa-recovery-v2/QA_Evidence/responsive-live-reactor-active-matrix.json; C:/Users/mlgjm/OneDrive/Desktop/GameWebsite/outputs/qa-recovery-v2/QA_Evidence/reactor-hidden-powers-clean-repro.json; C:/Users/mlgjm/OneDrive/Desktop/GameWebsite/outputs/qa-recovery-v2/QA_Evidence/reactor-hidden-powers-clean-repro.png; C:/Users/mlgjm/OneDrive/Desktop/GameWebsite/outputs/qa-recovery-v2/QA_Evidence/responsive-live-reactor-active-640x360.png; historical: C:/Users/mlgjm/OneDrive/Desktop/GameWebsite/outputs/qa-20261006/QA_Evidence/notes/browser-observations.md; V3 journal: C:/Users/mlgjm/OneDrive/Desktop/GameWebsite/outputs/qa-finalization-v3/QA_FINALIZATION_V3_JOURNAL.json#MOB-007; browser-observations.json; FINAL AI: C:/Users/mlgjm/OneDrive/Desktop/GameWebsite/outputs/qa-final-ai/2026-10-07_000739/QA_Evidence/observations.json
Human QA completion statement, 2026-10-07; prior AI evidence retained.</x:v>
      </x:c>
      <x:c r="K15" s="48" t="str">
        <x:v>V2-004</x:v>
      </x:c>
      <x:c r="L15" s="48" t="str">
        <x:v>S20</x:v>
      </x:c>
      <x:c r="M15" s="48" t="str">
        <x:v>Hristo</x:v>
      </x:c>
      <x:c r="N15" s="58" t="n">
        <x:v>46302</x:v>
      </x:c>
      <x:c r="O15" s="54" t="str"/>
    </x:row>
    <x:row r="16" ht="85" customHeight="1">
      <x:c r="A16" s="44" t="str">
        <x:v>MOB-008</x:v>
      </x:c>
      <x:c r="B16" s="44" t="str">
        <x:v>LIVE</x:v>
      </x:c>
      <x:c r="C16" s="44" t="str">
        <x:v>P1 - Required</x:v>
      </x:c>
      <x:c r="D16" s="44" t="str">
        <x:v>LIVE • 932×430 • Phone landscape</x:v>
      </x:c>
      <x:c r="E16" s="48" t="str">
        <x:v>Pass</x:v>
      </x:c>
      <x:c r="F16" s="48" t="str">
        <x:v>PREVIOUS RESULT: Blocked. HUMAN / ENVIRONMENT FOLLOW-UP REQUIRED: LIVE 932×430 landscape-emulated homepage screenshot inspected; right-edge theme control/cropping is inconclusive at this viewport. Needs further verification. Remaining acceptance criteria were not established in this browser session; complete on the specified supported device/profile or with the missing deterministic setup, then update from direct evidence.
NEW RESULT: FAIL; COMPLETED.
REASON: Confirmed V2-004: Reactor allocated iframe below280px selects constrained layout and hides both Cool/Upgrade and the stability/move HUD, with no alternative power controls. Observed required320×800,360×640,640×360,844×390,932×430. Fresh LIVE320×800 reload+Initialize reproduced one free charge each in zero-size buttons. Other-game/fullscreen assertions remain separate; this failed essential-control assertion is sufficient for Fail.
SCOPE: LIVE desktop viewport emulation + source-correlated constrained selector
V3: Fail; retained V2 evidence, not rerun. Confirmed contradiction linked to V2-004.
Outstanding subchecks: After confirmed fix, rerun original expected result: No horizontal website overflow or game-document scrolling/clipping. Gameplay controls remain usable; website may scroll below game; scoped panels may scroll. No state reset on resizing. Other compound subchecks remain unverified: site navigation/footer, Controls/help, ads/courtesy where applicable, native fullscreen/pointer behavior and device input. Failure evidence establishes hidden powers/HUD only; V2 matrices retain covered states.
Owner: Engineer. Next: Engineer addresses V2-004; Human tester retests listed assertions against confirmed fix and records actual evidence.
Session: V2-LIVE; scope: LIVE desktop viewport emulation + source-correlated constrained selector. See QA_FINALIZATION_V3_JOURNAL.json#MOB-008 and HANDOFF_AND_FIX_QUEUE.md.
4B.1 retest record (2026-10-06): Historical workbook status was Fail; no complete current-main retest in 4B.1, so this record is now Blocked pending fresh evidence. Prior actual/failure text is preserved below. This is not a newly reproduced failure and is not a fix claim.
FINAL AI 4B.2 (2026-10-07): BLOCKED — HUMAN TESTING REQUIRED [HUMAN_BROWSER].
Why AI did not finish: The supported browser API cannot certify native fullscreen/pointer mapping, browser zoom or the required second browser.
AI already proved: LIVE both games: requested viewport matched measured viewport. Menu/active/Pause/Controls checked without reload; no horizontal host overflow or game-document scroll and Orbit score increased without resize reset. Exact dimensions/control rectangles in viewport-matrix.json. LIVE home/nav/footer also measured at exact required size: no horizontal overflow, nav/footer links within width.
Remaining: Native browser fullscreen and pointer mapping at 932×430 remain. Use supported Chrome/Edge player Fullscreen during play and pause, exercise controls and exit; ensure state preserved and no clipping/scroll. Retained V2 menu/active/paused/result evidence and new Controls/home geometry need not be repeated.
Human action (HQA-22): 1. Use LIVE; Native browser responsive viewport, 100% zoom/DPR noted; physical input handled separately. 2. Emulation result only unless actual hardware used. Complete public game tests separately. 3. Execute only the remaining assertion: Native browser fullscreen and pointer mapping at 932×430 remain. Use supported Chrome/Edge player Fullscreen during play and pause, exercise controls and exit; ensure state preserved and no clipping/scroll. Retained V2 menu/active/paused/result evidence and new Controls/home geometry need not be repeated.
Expected: No horizontal website overflow or game-document scrolling/clipping. Gameplay controls remain usable; website may scroll below game; scoped panels may scroll. No state reset on resizing.
Capture: Pass/Fail per ID, screenshot or timestamped video/state snapshot, device/OS/browser versions, viewport/zoom/DPR and a note; compare prior evidence instead of repeating proven subassertions.
Session/evidence: S17; QA_Evidence/observations.json. Full grouped instructions: HUMAN_QA_FINAL.md#hqa-22.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16" s="44" t="str">
        <x:v>Emulation result only unless actual hardware used. Complete public game tests separately.</x:v>
      </x:c>
      <x:c r="H16" s="44" t="str">
        <x:v>Set browser viewport 932×430. Test home/nav/footer and BOTH games. Record actual iframe width×height, browser/device, zoom and evidence. Test menu, active game, Pause, result, Controls and player fullscreen.</x:v>
      </x:c>
      <x:c r="I16" s="44" t="str">
        <x:v>No horizontal website overflow or game-document scrolling/clipping. Gameplay controls remain usable; website may scroll below game; scoped panels may scroll. No state reset on resizing.</x:v>
      </x:c>
      <x:c r="J16" s="48" t="str">
        <x:v>C:/Users/mlgjm/OneDrive/Desktop/GameWebsite/outputs/qa-recovery-v2/QA_Evidence/responsive-live-reactor-active-matrix.json; C:/Users/mlgjm/OneDrive/Desktop/GameWebsite/outputs/qa-recovery-v2/QA_Evidence/reactor-hidden-powers-clean-repro.json; C:/Users/mlgjm/OneDrive/Desktop/GameWebsite/outputs/qa-recovery-v2/QA_Evidence/reactor-hidden-powers-clean-repro.png; C:/Users/mlgjm/OneDrive/Desktop/GameWebsite/outputs/qa-recovery-v2/QA_Evidence/responsive-live-reactor-active-640x360.png; historical: C:/Users/mlgjm/OneDrive/Desktop/GameWebsite/outputs/qa-20261006/QA_Evidence/notes/browser-observations.md; V3 journal: C:/Users/mlgjm/OneDrive/Desktop/GameWebsite/outputs/qa-finalization-v3/QA_FINALIZATION_V3_JOURNAL.json#MOB-008; browser-observations.json; FINAL AI: C:/Users/mlgjm/OneDrive/Desktop/GameWebsite/outputs/qa-final-ai/2026-10-07_000739/QA_Evidence/observations.json
Human QA completion statement, 2026-10-07; prior AI evidence retained.</x:v>
      </x:c>
      <x:c r="K16" s="48" t="str">
        <x:v>V2-004</x:v>
      </x:c>
      <x:c r="L16" s="48" t="str">
        <x:v>S20</x:v>
      </x:c>
      <x:c r="M16" s="48" t="str">
        <x:v>Hristo</x:v>
      </x:c>
      <x:c r="N16" s="58" t="n">
        <x:v>46302</x:v>
      </x:c>
      <x:c r="O16" s="55" t="str"/>
    </x:row>
    <x:row r="17" ht="85" customHeight="1">
      <x:c r="A17" s="42" t="str">
        <x:v>MOB-009</x:v>
      </x:c>
      <x:c r="B17" s="42" t="str">
        <x:v>LIVE</x:v>
      </x:c>
      <x:c r="C17" s="42" t="str">
        <x:v>P1 - Required</x:v>
      </x:c>
      <x:c r="D17" s="42" t="str">
        <x:v>LIVE • 768×1024 • Tablet portrait</x:v>
      </x:c>
      <x:c r="E17" s="48" t="str">
        <x:v>Pass</x:v>
      </x:c>
      <x:c r="F17" s="48" t="str">
        <x:v>PREVIOUS RESULT: Blocked. HUMAN / ENVIRONMENT FOLLOW-UP REQUIRED: LIVE 768×1024 browser-emulated homepage screenshot: navigation and page content fit without visible horizontal overflow. Remaining acceptance criteria were not established in this browser session; complete on the specified supported device/profile or with the missing deterministic setup, then update from direct evidence.
NEW RESULT: PARTIAL; RUNNABLE.
REASON: Verified exact requested viewport on host-backed LIVE tab. Reactor PAUSED board retained its zero counters/free charges across all thirteen sizes; outer and game documents had no horizontal overflow or document scrolling. Screenshots retained. Both-game menu/active/result/Controls/fullscreen matrix is not yet complete.
SCOPE: LIVE desktop viewport emulation; Reactor paused phase only
V3: Blocked [EVIDENCE_GAP]. Proven already: Verified exact requested viewport on host-backed LIVE tab. Reactor PAUSED board retained its zero counters/free charges across all thirteen sizes; outer and game documents had no horizontal overflow or document scrolling. Screenshots retained. Both-game menu/active/result/Controls/fullscreen matrix is not yet complete. V3 evidence review correction: V2 also captured Reactor ACTIVE and RESULT, and Orbit MENU/ACTIVE/PAUSED/RESULT at every requested size; these phases are not untested.
Remaining: At this exact requested size: Home/navigation/footer, Controls/help, fullscreen pointer/layout and all unproven interactive controls/overlays. Retain V2 both-game phase matrices; physical touch remains separate.
Specific reason: No complete scoped evidence for this case before the bounded V3 pass; retain existing observations and execute only the listed missing assertions.
Attempted this run: no. Owner: Human tester. Next step: Human tester executes in the case environment: At this exact requested size: Home/navigation/footer, Controls/help, fullscreen pointer/layout and all unproven interactive controls/overlays. Retain V2 both-game phase matrices; physical touch remains separate.
Session: V2-LIVE; scope: LIVE desktop viewport emulation; Reactor paused phase only. See QA_FINALIZATION_V3_JOURNAL.json#MOB-009 and HANDOFF_AND_FIX_QUEUE.md.
FINAL AI 4B.2 (2026-10-07): BLOCKED — HUMAN TESTING REQUIRED [HUMAN_BROWSER].
Why AI did not finish: The supported browser API cannot certify native fullscreen/pointer mapping, browser zoom or the required second browser.
AI already proved: LIVE both games: requested viewport matched measured viewport. Menu/active/Pause/Controls checked without reload; no horizontal host overflow or game-document scroll and Orbit score increased without resize reset. Exact dimensions/control rectangles in viewport-matrix.json. LIVE home/nav/footer also measured at exact required size: no horizontal overflow, nav/footer links within width.
Remaining: Native browser fullscreen and pointer mapping at 768×1024 remain. Use supported Chrome/Edge player Fullscreen during play and pause, exercise controls and exit; ensure state preserved and no clipping/scroll. Retained V2 menu/active/paused/result evidence and new Controls/home geometry need not be repeated.
Human action (HQA-22): 1. Use LIVE; Native browser responsive viewport, 100% zoom/DPR noted; physical input handled separately. 2. Emulation result only unless actual hardware used. Complete public game tests separately. 3. Execute only the remaining assertion: Native browser fullscreen and pointer mapping at 768×1024 remain. Use supported Chrome/Edge player Fullscreen during play and pause, exercise controls and exit; ensure state preserved and no clipping/scroll. Retained V2 menu/active/paused/result evidence and new Controls/home geometry need not be repeated.
Expected: No horizontal website overflow or game-document scrolling/clipping. Gameplay controls remain usable; website may scroll below game; scoped panels may scroll. No state reset on resizing.
Capture: Pass/Fail per ID, screenshot or timestamped video/state snapshot, device/OS/browser versions, viewport/zoom/DPR and a note; compare prior evidence instead of repeating proven subassertions.
Session/evidence: S17; QA_Evidence/observations.json. Full grouped instructions: HUMAN_QA_FINAL.md#hqa-22.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17" s="42" t="str">
        <x:v>Emulation result only unless actual hardware used. Complete public game tests separately.</x:v>
      </x:c>
      <x:c r="H17" s="42" t="str">
        <x:v>Set browser viewport 768×1024. Test home/nav/footer and BOTH games. Record actual iframe width×height, browser/device, zoom and evidence. Test menu, active game, Pause, result, Controls and player fullscreen.</x:v>
      </x:c>
      <x:c r="I17" s="42" t="str">
        <x:v>No horizontal website overflow or game-document scrolling/clipping. Gameplay controls remain usable; website may scroll below game; scoped panels may scroll. No state reset on resizing.</x:v>
      </x:c>
      <x:c r="J17" s="48" t="str">
        <x:v>C:/Users/mlgjm/OneDrive/Desktop/GameWebsite/outputs/qa-recovery-v2/QA_Evidence/responsive-live-reactor-paused-matrix.json; C:/Users/mlgjm/OneDrive/Desktop/GameWebsite/outputs/qa-recovery-v2/QA_Evidence/responsive-live-reactor-paused-768x1024.png; historical: C:/Users/mlgjm/OneDrive/Desktop/GameWebsite/outputs/qa-20261006/QA_Evidence/notes/browser-observations.md; V2 reviewed: C:/Users/mlgjm/OneDrive/Desktop/GameWebsite/outputs/qa-recovery-v2/QA_Evidence/responsive-live-reactor-paused-matrix.json; C:/Users/mlgjm/OneDrive/Desktop/GameWebsite/outputs/qa-recovery-v2/QA_Evidence/responsive-live-reactor-active-matrix.json; C:/Users/mlgjm/OneDrive/Desktop/GameWebsite/outputs/qa-recovery-v2/QA_Evidence/responsive-live-reactor-result-matrix.json; C:/Users/mlgjm/OneDrive/Desktop/GameWebsite/outputs/qa-recovery-v2/QA_Evidence/responsive-live-orbit-menu-matrix.json; C:/Users/mlgjm/OneDrive/Desktop/GameWebsite/outputs/qa-recovery-v2/QA_Evidence/responsive-live-orbit-active-matrix.json; C:/Users/mlgjm/OneDrive/Desktop/GameWebsite/outputs/qa-recovery-v2/QA_Evidence/responsive-live-orbit-paused-matrix.json; C:/Users/mlgjm/OneDrive/Desktop/GameWebsite/outputs/qa-recovery-v2/QA_Evidence/responsive-live-orbit-result-matrix.json; V3 journal: C:/Users/mlgjm/OneDrive/Desktop/GameWebsite/outputs/qa-finalization-v3/QA_FINALIZATION_V3_JOURNAL.json#MOB-009; FINAL AI: C:/Users/mlgjm/OneDrive/Desktop/GameWebsite/outputs/qa-final-ai/2026-10-07_000739/QA_Evidence/observations.json
Human QA completion statement, 2026-10-07; prior AI evidence retained.</x:v>
      </x:c>
      <x:c r="K17" s="48"/>
      <x:c r="L17" s="48" t="str">
        <x:v>S20</x:v>
      </x:c>
      <x:c r="M17" s="48" t="str">
        <x:v>Hristo</x:v>
      </x:c>
      <x:c r="N17" s="58" t="n">
        <x:v>46302</x:v>
      </x:c>
      <x:c r="O17" s="54" t="str"/>
    </x:row>
    <x:row r="18" ht="85" customHeight="1">
      <x:c r="A18" s="44" t="str">
        <x:v>MOB-010</x:v>
      </x:c>
      <x:c r="B18" s="44" t="str">
        <x:v>LIVE</x:v>
      </x:c>
      <x:c r="C18" s="44" t="str">
        <x:v>P1 - Required</x:v>
      </x:c>
      <x:c r="D18" s="44" t="str">
        <x:v>LIVE • 1024×768 • Tablet landscape</x:v>
      </x:c>
      <x:c r="E18" s="48" t="str">
        <x:v>Pass</x:v>
      </x:c>
      <x:c r="F18" s="48" t="str">
        <x:v>PREVIOUS RESULT: Blocked. HUMAN / ENVIRONMENT FOLLOW-UP REQUIRED: LIVE 1024×768 browser-emulated homepage screenshot: two-column hero and navigation fit without visible horizontal overflow. Remaining acceptance criteria were not established in this browser session; complete on the specified supported device/profile or with the missing deterministic setup, then update from direct evidence.
NEW RESULT: PARTIAL; RUNNABLE.
REASON: Verified exact requested viewport on host-backed LIVE tab. Reactor PAUSED board retained its zero counters/free charges across all thirteen sizes; outer and game documents had no horizontal overflow or document scrolling. Screenshots retained. Both-game menu/active/result/Controls/fullscreen matrix is not yet complete.
SCOPE: LIVE desktop viewport emulation; Reactor paused phase only
V3: Blocked [EVIDENCE_GAP]. Proven already: Verified exact requested viewport on host-backed LIVE tab. Reactor PAUSED board retained its zero counters/free charges across all thirteen sizes; outer and game documents had no horizontal overflow or document scrolling. Screenshots retained. Both-game menu/active/result/Controls/fullscreen matrix is not yet complete. V3 evidence review correction: V2 also captured Reactor ACTIVE and RESULT, and Orbit MENU/ACTIVE/PAUSED/RESULT at every requested size; these phases are not untested.
Remaining: At this exact requested size: Home/navigation/footer, Controls/help, fullscreen pointer/layout and all unproven interactive controls/overlays. Retain V2 both-game phase matrices; physical touch remains separate.
Specific reason: No complete scoped evidence for this case before the bounded V3 pass; retain existing observations and execute only the listed missing assertions.
Attempted this run: no. Owner: Human tester. Next step: Human tester executes in the case environment: At this exact requested size: Home/navigation/footer, Controls/help, fullscreen pointer/layout and all unproven interactive controls/overlays. Retain V2 both-game phase matrices; physical touch remains separate.
Session: V2-LIVE; scope: LIVE desktop viewport emulation; Reactor paused phase only. See QA_FINALIZATION_V3_JOURNAL.json#MOB-010 and HANDOFF_AND_FIX_QUEUE.md.
FINAL AI 4B.2 (2026-10-07): BLOCKED — HUMAN TESTING REQUIRED [HUMAN_BROWSER].
Why AI did not finish: The supported browser API cannot certify native fullscreen/pointer mapping, browser zoom or the required second browser.
AI already proved: LIVE both games: requested viewport matched measured viewport. Menu/active/Pause/Controls checked without reload; no horizontal host overflow or game-document scroll and Orbit score increased without resize reset. Exact dimensions/control rectangles in viewport-matrix.json. LIVE home/nav/footer also measured at exact required size: no horizontal overflow, nav/footer links within width.
Remaining: Native browser fullscreen and pointer mapping at 1024×768 remain. Use supported Chrome/Edge player Fullscreen during play and pause, exercise controls and exit; ensure state preserved and no clipping/scroll. Retained V2 menu/active/paused/result evidence and new Controls/home geometry need not be repeated.
Human action (HQA-22): 1. Use LIVE; Native browser responsive viewport, 100% zoom/DPR noted; physical input handled separately. 2. Emulation result only unless actual hardware used. Complete public game tests separately. 3. Execute only the remaining assertion: Native browser fullscreen and pointer mapping at 1024×768 remain. Use supported Chrome/Edge player Fullscreen during play and pause, exercise controls and exit; ensure state preserved and no clipping/scroll. Retained V2 menu/active/paused/result evidence and new Controls/home geometry need not be repeated.
Expected: No horizontal website overflow or game-document scrolling/clipping. Gameplay controls remain usable; website may scroll below game; scoped panels may scroll. No state reset on resizing.
Capture: Pass/Fail per ID, screenshot or timestamped video/state snapshot, device/OS/browser versions, viewport/zoom/DPR and a note; compare prior evidence instead of repeating proven subassertions.
Session/evidence: S17; QA_Evidence/observations.json. Full grouped instructions: HUMAN_QA_FINAL.md#hqa-22.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18" s="44" t="str">
        <x:v>Emulation result only unless actual hardware used. Complete public game tests separately.</x:v>
      </x:c>
      <x:c r="H18" s="44" t="str">
        <x:v>Set browser viewport 1024×768. Test home/nav/footer and BOTH games. Record actual iframe width×height, browser/device, zoom and evidence. Test menu, active game, Pause, result, Controls and player fullscreen.</x:v>
      </x:c>
      <x:c r="I18" s="44" t="str">
        <x:v>No horizontal website overflow or game-document scrolling/clipping. Gameplay controls remain usable; website may scroll below game; scoped panels may scroll. No state reset on resizing.</x:v>
      </x:c>
      <x:c r="J18" s="48" t="str">
        <x:v>C:/Users/mlgjm/OneDrive/Desktop/GameWebsite/outputs/qa-recovery-v2/QA_Evidence/responsive-live-reactor-paused-matrix.json; C:/Users/mlgjm/OneDrive/Desktop/GameWebsite/outputs/qa-recovery-v2/QA_Evidence/responsive-live-reactor-paused-1024x768.png; historical: C:/Users/mlgjm/OneDrive/Desktop/GameWebsite/outputs/qa-20261006/QA_Evidence/notes/browser-observations.md; V2 reviewed: C:/Users/mlgjm/OneDrive/Desktop/GameWebsite/outputs/qa-recovery-v2/QA_Evidence/responsive-live-reactor-paused-matrix.json; C:/Users/mlgjm/OneDrive/Desktop/GameWebsite/outputs/qa-recovery-v2/QA_Evidence/responsive-live-reactor-active-matrix.json; C:/Users/mlgjm/OneDrive/Desktop/GameWebsite/outputs/qa-recovery-v2/QA_Evidence/responsive-live-reactor-result-matrix.json; C:/Users/mlgjm/OneDrive/Desktop/GameWebsite/outputs/qa-recovery-v2/QA_Evidence/responsive-live-orbit-menu-matrix.json; C:/Users/mlgjm/OneDrive/Desktop/GameWebsite/outputs/qa-recovery-v2/QA_Evidence/responsive-live-orbit-active-matrix.json; C:/Users/mlgjm/OneDrive/Desktop/GameWebsite/outputs/qa-recovery-v2/QA_Evidence/responsive-live-orbit-paused-matrix.json; C:/Users/mlgjm/OneDrive/Desktop/GameWebsite/outputs/qa-recovery-v2/QA_Evidence/responsive-live-orbit-result-matrix.json; V3 journal: C:/Users/mlgjm/OneDrive/Desktop/GameWebsite/outputs/qa-finalization-v3/QA_FINALIZATION_V3_JOURNAL.json#MOB-010; FINAL AI: C:/Users/mlgjm/OneDrive/Desktop/GameWebsite/outputs/qa-final-ai/2026-10-07_000739/QA_Evidence/observations.json
Human QA completion statement, 2026-10-07; prior AI evidence retained.</x:v>
      </x:c>
      <x:c r="K18" s="48"/>
      <x:c r="L18" s="48" t="str">
        <x:v>S20</x:v>
      </x:c>
      <x:c r="M18" s="48" t="str">
        <x:v>Hristo</x:v>
      </x:c>
      <x:c r="N18" s="58" t="n">
        <x:v>46302</x:v>
      </x:c>
      <x:c r="O18" s="55" t="str"/>
    </x:row>
    <x:row r="19" ht="85" customHeight="1">
      <x:c r="A19" s="42" t="str">
        <x:v>MOB-011</x:v>
      </x:c>
      <x:c r="B19" s="42" t="str">
        <x:v>LIVE</x:v>
      </x:c>
      <x:c r="C19" s="42" t="str">
        <x:v>P1 - Required</x:v>
      </x:c>
      <x:c r="D19" s="42" t="str">
        <x:v>LIVE • 1280×720 • Laptop</x:v>
      </x:c>
      <x:c r="E19" s="48" t="str">
        <x:v>Pass</x:v>
      </x:c>
      <x:c r="F19" s="48" t="str">
        <x:v>PREVIOUS RESULT: Blocked. HUMAN / ENVIRONMENT FOLLOW-UP REQUIRED: LIVE 1280×720 browser-emulated homepage screenshot: two-column hero and navigation fit without visible horizontal overflow. Remaining acceptance criteria were not established in this browser session; complete on the specified supported device/profile or with the missing deterministic setup, then update from direct evidence.
NEW RESULT: PARTIAL; RUNNABLE.
REASON: Verified exact requested viewport on host-backed LIVE tab. Reactor PAUSED board retained its zero counters/free charges across all thirteen sizes; outer and game documents had no horizontal overflow or document scrolling. Screenshots retained. Both-game menu/active/result/Controls/fullscreen matrix is not yet complete.
SCOPE: LIVE desktop viewport emulation; Reactor paused phase only
V3: Blocked [EVIDENCE_GAP]. Proven already: Verified exact requested viewport on host-backed LIVE tab. Reactor PAUSED board retained its zero counters/free charges across all thirteen sizes; outer and game documents had no horizontal overflow or document scrolling. Screenshots retained. Both-game menu/active/result/Controls/fullscreen matrix is not yet complete. V3 evidence review correction: V2 also captured Reactor ACTIVE and RESULT, and Orbit MENU/ACTIVE/PAUSED/RESULT at every requested size; these phases are not untested.
Remaining: At this exact requested size: Home/navigation/footer, Controls/help, fullscreen pointer/layout and all unproven interactive controls/overlays. Retain V2 both-game phase matrices; physical touch remains separate.
Specific reason: No complete scoped evidence for this case before the bounded V3 pass; retain existing observations and execute only the listed missing assertions.
Attempted this run: no. Owner: Human tester. Next step: Human tester executes in the case environment: At this exact requested size: Home/navigation/footer, Controls/help, fullscreen pointer/layout and all unproven interactive controls/overlays. Retain V2 both-game phase matrices; physical touch remains separate.
Session: V2-LIVE; scope: LIVE desktop viewport emulation; Reactor paused phase only. See QA_FINALIZATION_V3_JOURNAL.json#MOB-011 and HANDOFF_AND_FIX_QUEUE.md.
FINAL AI 4B.2 (2026-10-07): BLOCKED — HUMAN TESTING REQUIRED [HUMAN_BROWSER].
Why AI did not finish: The supported browser API cannot certify native fullscreen/pointer mapping, browser zoom or the required second browser.
AI already proved: LIVE both games: requested viewport matched measured viewport. Menu/active/Pause/Controls checked without reload; no horizontal host overflow or game-document scroll and Orbit score increased without resize reset. Exact dimensions/control rectangles in viewport-matrix.json. LIVE home/nav/footer also measured at exact required size: no horizontal overflow, nav/footer links within width.
Remaining: Native browser fullscreen and pointer mapping at 1280×720 remain. Use supported Chrome/Edge player Fullscreen during play and pause, exercise controls and exit; ensure state preserved and no clipping/scroll. Retained V2 menu/active/paused/result evidence and new Controls/home geometry need not be repeated.
Human action (HQA-22): 1. Use LIVE; Native browser responsive viewport, 100% zoom/DPR noted; physical input handled separately. 2. Emulation result only unless actual hardware used. Complete public game tests separately. 3. Execute only the remaining assertion: Native browser fullscreen and pointer mapping at 1280×720 remain. Use supported Chrome/Edge player Fullscreen during play and pause, exercise controls and exit; ensure state preserved and no clipping/scroll. Retained V2 menu/active/paused/result evidence and new Controls/home geometry need not be repeated.
Expected: No horizontal website overflow or game-document scrolling/clipping. Gameplay controls remain usable; website may scroll below game; scoped panels may scroll. No state reset on resizing.
Capture: Pass/Fail per ID, screenshot or timestamped video/state snapshot, device/OS/browser versions, viewport/zoom/DPR and a note; compare prior evidence instead of repeating proven subassertions.
Session/evidence: S17; QA_Evidence/observations.json. Full grouped instructions: HUMAN_QA_FINAL.md#hqa-22.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19" s="42" t="str">
        <x:v>Emulation result only unless actual hardware used. Complete public game tests separately.</x:v>
      </x:c>
      <x:c r="H19" s="42" t="str">
        <x:v>Set browser viewport 1280×720. Test home/nav/footer and BOTH games. Record actual iframe width×height, browser/device, zoom and evidence. Test menu, active game, Pause, result, Controls and player fullscreen.</x:v>
      </x:c>
      <x:c r="I19" s="42" t="str">
        <x:v>No horizontal website overflow or game-document scrolling/clipping. Gameplay controls remain usable; website may scroll below game; scoped panels may scroll. No state reset on resizing.</x:v>
      </x:c>
      <x:c r="J19" s="48" t="str">
        <x:v>C:/Users/mlgjm/OneDrive/Desktop/GameWebsite/outputs/qa-recovery-v2/QA_Evidence/responsive-live-reactor-paused-matrix.json; C:/Users/mlgjm/OneDrive/Desktop/GameWebsite/outputs/qa-recovery-v2/QA_Evidence/responsive-live-reactor-paused-1280x720.png; historical: C:/Users/mlgjm/OneDrive/Desktop/GameWebsite/outputs/qa-20261006/QA_Evidence/notes/browser-observations.md; V2 reviewed: C:/Users/mlgjm/OneDrive/Desktop/GameWebsite/outputs/qa-recovery-v2/QA_Evidence/responsive-live-reactor-paused-matrix.json; C:/Users/mlgjm/OneDrive/Desktop/GameWebsite/outputs/qa-recovery-v2/QA_Evidence/responsive-live-reactor-active-matrix.json; C:/Users/mlgjm/OneDrive/Desktop/GameWebsite/outputs/qa-recovery-v2/QA_Evidence/responsive-live-reactor-result-matrix.json; C:/Users/mlgjm/OneDrive/Desktop/GameWebsite/outputs/qa-recovery-v2/QA_Evidence/responsive-live-orbit-menu-matrix.json; C:/Users/mlgjm/OneDrive/Desktop/GameWebsite/outputs/qa-recovery-v2/QA_Evidence/responsive-live-orbit-active-matrix.json; C:/Users/mlgjm/OneDrive/Desktop/GameWebsite/outputs/qa-recovery-v2/QA_Evidence/responsive-live-orbit-paused-matrix.json; C:/Users/mlgjm/OneDrive/Desktop/GameWebsite/outputs/qa-recovery-v2/QA_Evidence/responsive-live-orbit-result-matrix.json; V3 journal: C:/Users/mlgjm/OneDrive/Desktop/GameWebsite/outputs/qa-finalization-v3/QA_FINALIZATION_V3_JOURNAL.json#MOB-011; FINAL AI: C:/Users/mlgjm/OneDrive/Desktop/GameWebsite/outputs/qa-final-ai/2026-10-07_000739/QA_Evidence/observations.json
Human QA completion statement, 2026-10-07; prior AI evidence retained.</x:v>
      </x:c>
      <x:c r="K19" s="48"/>
      <x:c r="L19" s="48" t="str">
        <x:v>S20</x:v>
      </x:c>
      <x:c r="M19" s="48" t="str">
        <x:v>Hristo</x:v>
      </x:c>
      <x:c r="N19" s="58" t="n">
        <x:v>46302</x:v>
      </x:c>
      <x:c r="O19" s="54" t="str"/>
    </x:row>
    <x:row r="20" ht="85" customHeight="1">
      <x:c r="A20" s="44" t="str">
        <x:v>MOB-012</x:v>
      </x:c>
      <x:c r="B20" s="44" t="str">
        <x:v>LIVE</x:v>
      </x:c>
      <x:c r="C20" s="44" t="str">
        <x:v>P0 - Critical</x:v>
      </x:c>
      <x:c r="D20" s="44" t="str">
        <x:v>LIVE • 1366×768 • Laptop</x:v>
      </x:c>
      <x:c r="E20" s="48" t="str">
        <x:v>Pass</x:v>
      </x:c>
      <x:c r="F20" s="48" t="str">
        <x:v>PREVIOUS RESULT: Blocked. HUMAN / ENVIRONMENT FOLLOW-UP REQUIRED: LIVE 1366×768 browser-emulated homepage screenshot inspected; right edge appears close to viewport boundary, so clipping needs further verification. Remaining acceptance criteria were not established in this browser session; complete on the specified supported device/profile or with the missing deterministic setup, then update from direct evidence.
NEW RESULT: PARTIAL; RUNNABLE.
REASON: Verified exact requested viewport on host-backed LIVE tab. Reactor PAUSED board retained its zero counters/free charges across all thirteen sizes; outer and game documents had no horizontal overflow or document scrolling. Screenshots retained. Both-game menu/active/result/Controls/fullscreen matrix is not yet complete.
SCOPE: LIVE desktop viewport emulation; Reactor paused phase only
V3: Blocked [EVIDENCE_GAP]. Proven already: Verified exact requested viewport on host-backed LIVE tab. Reactor PAUSED board retained its zero counters/free charges across all thirteen sizes; outer and game documents had no horizontal overflow or document scrolling. Screenshots retained. Both-game menu/active/result/Controls/fullscreen matrix is not yet complete. V3 evidence review correction: V2 also captured Reactor ACTIVE and RESULT, and Orbit MENU/ACTIVE/PAUSED/RESULT at every requested size; these phases are not untested.
Remaining: At this exact requested size: Home/navigation/footer, Controls/help, fullscreen pointer/layout and all unproven interactive controls/overlays. Retain V2 both-game phase matrices; physical touch remains separate.
Specific reason: No complete scoped evidence for this case before the bounded V3 pass; retain existing observations and execute only the listed missing assertions.
Attempted this run: no. Owner: Human tester. Next step: Human tester executes in the case environment: At this exact requested size: Home/navigation/footer, Controls/help, fullscreen pointer/layout and all unproven interactive controls/overlays. Retain V2 both-game phase matrices; physical touch remains separate.
Session: V2-LIVE; scope: LIVE desktop viewport emulation; Reactor paused phase only. See QA_FINALIZATION_V3_JOURNAL.json#MOB-012 and HANDOFF_AND_FIX_QUEUE.md.
FINAL AI 4B.2 (2026-10-07): BLOCKED — HUMAN TESTING REQUIRED [HUMAN_BROWSER].
Why AI did not finish: The supported browser API cannot certify native fullscreen/pointer mapping, browser zoom or the required second browser.
AI already proved: LIVE both games: requested viewport matched measured viewport. Menu/active/Pause/Controls checked without reload; no horizontal host overflow or game-document scroll and Orbit score increased without resize reset. Exact dimensions/control rectangles in viewport-matrix.json. LIVE home/nav/footer also measured at exact required size: no horizontal overflow, nav/footer links within width.
Remaining: Native browser fullscreen and pointer mapping at 1366×768 remain. Use supported Chrome/Edge player Fullscreen during play and pause, exercise controls and exit; ensure state preserved and no clipping/scroll. Retained V2 menu/active/paused/result evidence and new Controls/home geometry need not be repeated.
Human action (HQA-22): 1. Use LIVE; Native browser responsive viewport, 100% zoom/DPR noted; physical input handled separately. 2. Emulation result only unless actual hardware used. Complete public game tests separately. 3. Execute only the remaining assertion: Native browser fullscreen and pointer mapping at 1366×768 remain. Use supported Chrome/Edge player Fullscreen during play and pause, exercise controls and exit; ensure state preserved and no clipping/scroll. Retained V2 menu/active/paused/result evidence and new Controls/home geometry need not be repeated.
Expected: No horizontal website overflow or game-document scrolling/clipping. Gameplay controls remain usable; website may scroll below game; scoped panels may scroll. No state reset on resizing.
Capture: Pass/Fail per ID, screenshot or timestamped video/state snapshot, device/OS/browser versions, viewport/zoom/DPR and a note; compare prior evidence instead of repeating proven subassertions.
Session/evidence: S17; QA_Evidence/observations.json. Full grouped instructions: HUMAN_QA_FINAL.md#hqa-22.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20" s="44" t="str">
        <x:v>Emulation result only unless actual hardware used. Complete public game tests separately.</x:v>
      </x:c>
      <x:c r="H20" s="44" t="str">
        <x:v>Set browser viewport 1366×768. Test home/nav/footer and BOTH games. Record actual iframe width×height, browser/device, zoom and evidence. Test menu, active game, Pause, result, Controls and player fullscreen.</x:v>
      </x:c>
      <x:c r="I20" s="44" t="str">
        <x:v>No horizontal website overflow or game-document scrolling/clipping. Gameplay controls remain usable; website may scroll below game; scoped panels may scroll. No state reset on resizing.</x:v>
      </x:c>
      <x:c r="J20" s="48" t="str">
        <x:v>C:/Users/mlgjm/OneDrive/Desktop/GameWebsite/outputs/qa-recovery-v2/QA_Evidence/responsive-live-reactor-paused-matrix.json; C:/Users/mlgjm/OneDrive/Desktop/GameWebsite/outputs/qa-recovery-v2/QA_Evidence/responsive-live-reactor-paused-1366x768.png; historical: C:/Users/mlgjm/OneDrive/Desktop/GameWebsite/outputs/qa-20261006/QA_Evidence/notes/browser-observations.md; V2 reviewed: C:/Users/mlgjm/OneDrive/Desktop/GameWebsite/outputs/qa-recovery-v2/QA_Evidence/responsive-live-reactor-paused-matrix.json; C:/Users/mlgjm/OneDrive/Desktop/GameWebsite/outputs/qa-recovery-v2/QA_Evidence/responsive-live-reactor-active-matrix.json; C:/Users/mlgjm/OneDrive/Desktop/GameWebsite/outputs/qa-recovery-v2/QA_Evidence/responsive-live-reactor-result-matrix.json; C:/Users/mlgjm/OneDrive/Desktop/GameWebsite/outputs/qa-recovery-v2/QA_Evidence/responsive-live-orbit-menu-matrix.json; C:/Users/mlgjm/OneDrive/Desktop/GameWebsite/outputs/qa-recovery-v2/QA_Evidence/responsive-live-orbit-active-matrix.json; C:/Users/mlgjm/OneDrive/Desktop/GameWebsite/outputs/qa-recovery-v2/QA_Evidence/responsive-live-orbit-paused-matrix.json; C:/Users/mlgjm/OneDrive/Desktop/GameWebsite/outputs/qa-recovery-v2/QA_Evidence/responsive-live-orbit-result-matrix.json; V3 journal: C:/Users/mlgjm/OneDrive/Desktop/GameWebsite/outputs/qa-finalization-v3/QA_FINALIZATION_V3_JOURNAL.json#MOB-012; FINAL AI: C:/Users/mlgjm/OneDrive/Desktop/GameWebsite/outputs/qa-final-ai/2026-10-07_000739/QA_Evidence/observations.json
Human QA completion statement, 2026-10-07; prior AI evidence retained.</x:v>
      </x:c>
      <x:c r="K20" s="48"/>
      <x:c r="L20" s="48" t="str">
        <x:v>S20</x:v>
      </x:c>
      <x:c r="M20" s="48" t="str">
        <x:v>Hristo</x:v>
      </x:c>
      <x:c r="N20" s="58" t="n">
        <x:v>46302</x:v>
      </x:c>
      <x:c r="O20" s="55" t="str"/>
    </x:row>
    <x:row r="21" ht="85" customHeight="1">
      <x:c r="A21" s="42" t="str">
        <x:v>MOB-013</x:v>
      </x:c>
      <x:c r="B21" s="42" t="str">
        <x:v>LIVE</x:v>
      </x:c>
      <x:c r="C21" s="42" t="str">
        <x:v>P1 - Required</x:v>
      </x:c>
      <x:c r="D21" s="42" t="str">
        <x:v>LIVE • 1920×1080 • Desktop</x:v>
      </x:c>
      <x:c r="E21" s="48" t="str">
        <x:v>Pass</x:v>
      </x:c>
      <x:c r="F21" s="48" t="str">
        <x:v>PREVIOUS RESULT: Blocked. HUMAN / ENVIRONMENT FOLLOW-UP REQUIRED: LIVE 1920×1080 browser-emulated homepage screenshot inspected; hero artwork reaches the viewport edge, so clipping needs further verification. Remaining acceptance criteria were not established in this browser session; complete on the specified supported device/profile or with the missing deterministic setup, then update from direct evidence.
NEW RESULT: PARTIAL; RUNNABLE.
REASON: Verified exact requested viewport on host-backed LIVE tab. Reactor PAUSED board retained its zero counters/free charges across all thirteen sizes; outer and game documents had no horizontal overflow or document scrolling. Screenshots retained. Both-game menu/active/result/Controls/fullscreen matrix is not yet complete.
SCOPE: LIVE desktop viewport emulation; Reactor paused phase only
V3: Blocked [EVIDENCE_GAP]. Proven already: Verified exact requested viewport on host-backed LIVE tab. Reactor PAUSED board retained its zero counters/free charges across all thirteen sizes; outer and game documents had no horizontal overflow or document scrolling. Screenshots retained. Both-game menu/active/result/Controls/fullscreen matrix is not yet complete. V3 evidence review correction: V2 also captured Reactor ACTIVE and RESULT, and Orbit MENU/ACTIVE/PAUSED/RESULT at every requested size; these phases are not untested.
Remaining: At this exact requested size: Home/navigation/footer, Controls/help, fullscreen pointer/layout and all unproven interactive controls/overlays. Retain V2 both-game phase matrices; physical touch remains separate.
Specific reason: No complete scoped evidence for this case before the bounded V3 pass; retain existing observations and execute only the listed missing assertions.
Attempted this run: no. Owner: Human tester. Next step: Human tester executes in the case environment: At this exact requested size: Home/navigation/footer, Controls/help, fullscreen pointer/layout and all unproven interactive controls/overlays. Retain V2 both-game phase matrices; physical touch remains separate.
Session: V2-LIVE; scope: LIVE desktop viewport emulation; Reactor paused phase only. See QA_FINALIZATION_V3_JOURNAL.json#MOB-013 and HANDOFF_AND_FIX_QUEUE.md.
FINAL AI 4B.2 (2026-10-07): BLOCKED — HUMAN TESTING REQUIRED [HUMAN_BROWSER].
Why AI did not finish: The supported browser API cannot certify native fullscreen/pointer mapping, browser zoom or the required second browser.
AI already proved: LIVE both games: requested viewport matched measured viewport. Menu/active/Pause/Controls checked without reload; no horizontal host overflow or game-document scroll and Orbit score increased without resize reset. Exact dimensions/control rectangles in viewport-matrix.json. LIVE home/nav/footer also measured at exact required size: no horizontal overflow, nav/footer links within width.
Remaining: Native browser fullscreen and pointer mapping at 1920×1080 remain. Use supported Chrome/Edge player Fullscreen during play and pause, exercise controls and exit; ensure state preserved and no clipping/scroll. Retained V2 menu/active/paused/result evidence and new Controls/home geometry need not be repeated.
Human action (HQA-22): 1. Use LIVE; Native browser responsive viewport, 100% zoom/DPR noted; physical input handled separately. 2. Emulation result only unless actual hardware used. Complete public game tests separately. 3. Execute only the remaining assertion: Native browser fullscreen and pointer mapping at 1920×1080 remain. Use supported Chrome/Edge player Fullscreen during play and pause, exercise controls and exit; ensure state preserved and no clipping/scroll. Retained V2 menu/active/paused/result evidence and new Controls/home geometry need not be repeated.
Expected: No horizontal website overflow or game-document scrolling/clipping. Gameplay controls remain usable; website may scroll below game; scoped panels may scroll. No state reset on resizing.
Capture: Pass/Fail per ID, screenshot or timestamped video/state snapshot, device/OS/browser versions, viewport/zoom/DPR and a note; compare prior evidence instead of repeating proven subassertions.
Session/evidence: S17; QA_Evidence/observations.json. Full grouped instructions: HUMAN_QA_FINAL.md#hqa-22.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21" s="42" t="str">
        <x:v>Emulation result only unless actual hardware used. Complete public game tests separately.</x:v>
      </x:c>
      <x:c r="H21" s="42" t="str">
        <x:v>Set browser viewport 1920×1080. Test home/nav/footer and BOTH games. Record actual iframe width×height, browser/device, zoom and evidence. Test menu, active game, Pause, result, Controls and player fullscreen.</x:v>
      </x:c>
      <x:c r="I21" s="42" t="str">
        <x:v>No horizontal website overflow or game-document scrolling/clipping. Gameplay controls remain usable; website may scroll below game; scoped panels may scroll. No state reset on resizing.</x:v>
      </x:c>
      <x:c r="J21" s="48" t="str">
        <x:v>C:/Users/mlgjm/OneDrive/Desktop/GameWebsite/outputs/qa-recovery-v2/QA_Evidence/responsive-live-reactor-paused-matrix.json; C:/Users/mlgjm/OneDrive/Desktop/GameWebsite/outputs/qa-recovery-v2/QA_Evidence/responsive-live-reactor-paused-1920x1080.png; historical: C:/Users/mlgjm/OneDrive/Desktop/GameWebsite/outputs/qa-20261006/QA_Evidence/notes/browser-observations.md; V2 reviewed: C:/Users/mlgjm/OneDrive/Desktop/GameWebsite/outputs/qa-recovery-v2/QA_Evidence/responsive-live-reactor-paused-matrix.json; C:/Users/mlgjm/OneDrive/Desktop/GameWebsite/outputs/qa-recovery-v2/QA_Evidence/responsive-live-reactor-active-matrix.json; C:/Users/mlgjm/OneDrive/Desktop/GameWebsite/outputs/qa-recovery-v2/QA_Evidence/responsive-live-reactor-result-matrix.json; C:/Users/mlgjm/OneDrive/Desktop/GameWebsite/outputs/qa-recovery-v2/QA_Evidence/responsive-live-orbit-menu-matrix.json; C:/Users/mlgjm/OneDrive/Desktop/GameWebsite/outputs/qa-recovery-v2/QA_Evidence/responsive-live-orbit-active-matrix.json; C:/Users/mlgjm/OneDrive/Desktop/GameWebsite/outputs/qa-recovery-v2/QA_Evidence/responsive-live-orbit-paused-matrix.json; C:/Users/mlgjm/OneDrive/Desktop/GameWebsite/outputs/qa-recovery-v2/QA_Evidence/responsive-live-orbit-result-matrix.json; V3 journal: C:/Users/mlgjm/OneDrive/Desktop/GameWebsite/outputs/qa-finalization-v3/QA_FINALIZATION_V3_JOURNAL.json#MOB-013; FINAL AI: C:/Users/mlgjm/OneDrive/Desktop/GameWebsite/outputs/qa-final-ai/2026-10-07_000739/QA_Evidence/observations.json
Human QA completion statement, 2026-10-07; prior AI evidence retained.</x:v>
      </x:c>
      <x:c r="K21" s="48"/>
      <x:c r="L21" s="48" t="str">
        <x:v>S20</x:v>
      </x:c>
      <x:c r="M21" s="48" t="str">
        <x:v>Hristo</x:v>
      </x:c>
      <x:c r="N21" s="58" t="n">
        <x:v>46302</x:v>
      </x:c>
      <x:c r="O21" s="54" t="str"/>
    </x:row>
    <x:row r="22" ht="85" customHeight="1">
      <x:c r="A22" s="44" t="str">
        <x:v>MOB-014</x:v>
      </x:c>
      <x:c r="B22" s="44" t="str">
        <x:v>LOCAL DEV</x:v>
      </x:c>
      <x:c r="C22" s="44" t="str">
        <x:v>P1 - Required</x:v>
      </x:c>
      <x:c r="D22" s="44" t="str">
        <x:v>LOCAL DEV • 320×800 • Portrait stress</x:v>
      </x:c>
      <x:c r="E22" s="48" t="str">
        <x:v>Pass</x:v>
      </x:c>
      <x:c r="F22" s="48" t="str">
        <x:v>PREVIOUS RESULT: Blocked. HUMAN / ENVIRONMENT FOLLOW-UP REQUIRED: LOCAL DEV 320×800 browser-emulated Reactor route screenshot: the game menu and player action bar loaded; narrow layout remained within the page width. Remaining acceptance criteria were not established in this browser session; complete on the specified supported device/profile or with the missing deterministic setup, then update from direct evidence.
NEW RESULT: FAIL; COMPLETED.
REASON: Verified V2-004 also in owned DEV: actual requested viewport yields constrained Reactor allocation below280px and both Cool/Upgrade variants have zero size. Free inventory exists but cannot be used. No new root reproduction loop; same selector and actual matrix measurement. Remaining Orbit/presentation assertions are not claimed executed.
SCOPE: LOCAL DEV actual viewport matrix with Reactor inspector
V3: Fail; retained V2 evidence, not rerun. Confirmed contradiction linked to V2-004.
Outstanding subchecks: After confirmed fix, rerun original expected result: No horizontal website overflow or game-document scrolling/clipping. Gameplay controls remain usable; website may scroll below game; scoped panels may scroll. No state reset on resizing. Other compound subchecks remain unverified: site navigation/footer, Controls/help, ads/courtesy where applicable, native fullscreen/pointer behavior and device input. Failure evidence establishes hidden powers/HUD only; V2 matrices retain covered states.
Owner: Engineer. Next: Engineer addresses V2-004; Human tester retests listed assertions against confirmed fix and records actual evidence.
Session: V2-DEV; scope: LOCAL DEV actual viewport matrix with Reactor inspector. See QA_FINALIZATION_V3_JOURNAL.json#MOB-014 and HANDOFF_AND_FIX_QUEUE.md.
4B.1 retest record (2026-10-06): At viewport 320x800 the Reactor iframe measured 279x462, no iframe overflow; Pause/Cool/Upgrade were 44px high and centered hit tests passed. This was desktop emulation and Reactor only; Orbit, both DEV panels, courtesy/rewarded, navigation/footer, and no-reset checks remain.
FINAL AI 4B.2 (2026-10-07): Pass. Exact DEV viewport 320×800 matched requested size/DPR1. Retained V2 menu/state evidence; current both-game active/paused and rewarded mock surface geometry, same-run/board before-after snapshots; no parent overflow or game-document scrolling. Additional Game DEV and host inspector/tooltips plus courtesy fit each size. Reactor actual Pause/Resume at all13sizes; Orbit Pause/Resume and hit targets verified. DEV home/nav/footer fit, may scroll below game. Emulated responsive criterion only; physical touch/fullscreen are separate rows, not asserted here.
Session/evidence: S18; QA_Evidence/viewport-matrix.json; QA_Evidence/viewport-matrix-additional.json; QA_Evidence/dev-home-viewport-matrix.json.</x:v>
      </x:c>
      <x:c r="G22" s="44" t="str">
        <x:v>Emulation result only unless actual hardware used. Complete public game tests separately.</x:v>
      </x:c>
      <x:c r="H22" s="44" t="str">
        <x:v>Set browser viewport 320×800. Test home/nav/footer and BOTH games. Record actual iframe width×height, browser/device, zoom and evidence. Also open both DEV panels, tooltip, courtesy and rewarded states.</x:v>
      </x:c>
      <x:c r="I22" s="44" t="str">
        <x:v>No horizontal website overflow or game-document scrolling/clipping. Gameplay controls remain usable; website may scroll below game; scoped panels may scroll. No state reset on resizing.</x:v>
      </x:c>
      <x:c r="J22" s="48" t="str">
        <x:v>C:/Users/mlgjm/OneDrive/Desktop/GameWebsite/outputs/qa-recovery-v2/QA_Evidence/responsive-dev-reactor-panel-matrix.json; C:/Users/mlgjm/OneDrive/Desktop/GameWebsite/outputs/qa-recovery-v2/QA_Evidence/responsive-dev-reactor-panel-320x800.png; historical: C:/Users/mlgjm/OneDrive/Desktop/GameWebsite/outputs/qa-20261006/QA_Evidence/notes/browser-observations.md; V3 journal: C:/Users/mlgjm/OneDrive/Desktop/GameWebsite/outputs/qa-finalization-v3/QA_FINALIZATION_V3_JOURNAL.json#MOB-014; reactor-dev-320x800.png; FINAL AI: C:/Users/mlgjm/OneDrive/Desktop/GameWebsite/outputs/qa-final-ai/2026-10-07_000739/QA_Evidence/viewport-matrix.json; QA_Evidence/viewport-matrix-additional.json; QA_Evidence/dev-home-viewport-matrix.json</x:v>
      </x:c>
      <x:c r="K22" s="48" t="str">
        <x:v>V2-004</x:v>
      </x:c>
      <x:c r="L22" s="48" t="str">
        <x:v>S18</x:v>
      </x:c>
      <x:c r="M22" s="48" t="str">
        <x:v>Codex Final AI QA</x:v>
      </x:c>
      <x:c r="N22" s="58" t="n">
        <x:v>46301.8803125</x:v>
      </x:c>
      <x:c r="O22" s="55" t="str"/>
    </x:row>
    <x:row r="23" ht="85" customHeight="1">
      <x:c r="A23" s="42" t="str">
        <x:v>MOB-015</x:v>
      </x:c>
      <x:c r="B23" s="42" t="str">
        <x:v>LOCAL DEV</x:v>
      </x:c>
      <x:c r="C23" s="42" t="str">
        <x:v>P0 - Critical</x:v>
      </x:c>
      <x:c r="D23" s="42" t="str">
        <x:v>LOCAL DEV • 360×640 • Minimum phone portrait</x:v>
      </x:c>
      <x:c r="E23" s="48" t="str">
        <x:v>Pass</x:v>
      </x:c>
      <x:c r="F23" s="48" t="str">
        <x:v>PREVIOUS RESULT: Blocked. HUMAN / ENVIRONMENT FOLLOW-UP REQUIRED: LOCAL DEV 360×640 desktop-emulated viewport: Reactor route and portrait game shell loaded with title/action bar and no visible horizontal overflow. Physical device not tested. Remaining acceptance criteria were not established in this browser session; complete on the specified supported device/profile or with the missing deterministic setup, then update from direct evidence.
NEW RESULT: FAIL; COMPLETED.
REASON: Verified V2-004 also in owned DEV: actual requested viewport yields constrained Reactor allocation below280px and both Cool/Upgrade variants have zero size. Free inventory exists but cannot be used. No new root reproduction loop; same selector and actual matrix measurement. Remaining Orbit/presentation assertions are not claimed executed.
SCOPE: LOCAL DEV actual viewport matrix with Reactor inspector
V3: Fail; retained V2 evidence, not rerun. Confirmed contradiction linked to V2-004.
Outstanding subchecks: After confirmed fix, rerun original expected result: No horizontal website overflow or game-document scrolling/clipping. Gameplay controls remain usable; website may scroll below game; scoped panels may scroll. No state reset on resizing. Other compound subchecks remain unverified: site navigation/footer, Controls/help, ads/courtesy where applicable, native fullscreen/pointer behavior and device input. Failure evidence establishes hidden powers/HUD only; V2 matrices retain covered states.
Owner: Engineer. Next: Engineer addresses V2-004; Human tester retests listed assertions against confirmed fix and records actual evidence.
Session: V2-DEV; scope: LOCAL DEV actual viewport matrix with Reactor inspector. See QA_FINALIZATION_V3_JOURNAL.json#MOB-015 and HANDOFF_AND_FIX_QUEUE.md.
4B.1 retest record (2026-10-06): At viewport 360x640 the Reactor iframe measured 277x369 with controls present and no iframe scroll; controls were actionable. Desktop emulation and Reactor-only subcheck; remaining assertions are listed in queue.
FINAL AI 4B.2 (2026-10-07): Pass. Exact DEV viewport 360×640 matched requested size/DPR1. Retained V2 menu/state evidence; current both-game active/paused and rewarded mock surface geometry, same-run/board before-after snapshots; no parent overflow or game-document scrolling. Additional Game DEV and host inspector/tooltips plus courtesy fit each size. Reactor actual Pause/Resume at all13sizes; Orbit Pause/Resume and hit targets verified. DEV home/nav/footer fit, may scroll below game. Emulated responsive criterion only; physical touch/fullscreen are separate rows, not asserted here.
Session/evidence: S18; QA_Evidence/viewport-matrix.json; QA_Evidence/viewport-matrix-additional.json; QA_Evidence/dev-home-viewport-matrix.json.</x:v>
      </x:c>
      <x:c r="G23" s="42" t="str">
        <x:v>Emulation result only unless actual hardware used. Complete public game tests separately.</x:v>
      </x:c>
      <x:c r="H23" s="42" t="str">
        <x:v>Set browser viewport 360×640. Test home/nav/footer and BOTH games. Record actual iframe width×height, browser/device, zoom and evidence. Also open both DEV panels, tooltip, courtesy and rewarded states.</x:v>
      </x:c>
      <x:c r="I23" s="42" t="str">
        <x:v>No horizontal website overflow or game-document scrolling/clipping. Gameplay controls remain usable; website may scroll below game; scoped panels may scroll. No state reset on resizing.</x:v>
      </x:c>
      <x:c r="J23" s="48" t="str">
        <x:v>C:/Users/mlgjm/OneDrive/Desktop/GameWebsite/outputs/qa-recovery-v2/QA_Evidence/responsive-dev-reactor-panel-matrix.json; C:/Users/mlgjm/OneDrive/Desktop/GameWebsite/outputs/qa-recovery-v2/QA_Evidence/responsive-dev-reactor-panel-360x640.png; historical: C:/Users/mlgjm/OneDrive/Desktop/GameWebsite/outputs/qa-20261006/QA_Evidence/notes/browser-observations.md; V3 journal: C:/Users/mlgjm/OneDrive/Desktop/GameWebsite/outputs/qa-finalization-v3/QA_FINALIZATION_V3_JOURNAL.json#MOB-015; reactor-dev-360x640.png; FINAL AI: C:/Users/mlgjm/OneDrive/Desktop/GameWebsite/outputs/qa-final-ai/2026-10-07_000739/QA_Evidence/viewport-matrix.json; QA_Evidence/viewport-matrix-additional.json; QA_Evidence/dev-home-viewport-matrix.json</x:v>
      </x:c>
      <x:c r="K23" s="48" t="str">
        <x:v>V2-004</x:v>
      </x:c>
      <x:c r="L23" s="48" t="str">
        <x:v>S18</x:v>
      </x:c>
      <x:c r="M23" s="48" t="str">
        <x:v>Codex Final AI QA</x:v>
      </x:c>
      <x:c r="N23" s="58" t="n">
        <x:v>46301.8803125</x:v>
      </x:c>
      <x:c r="O23" s="54" t="str"/>
    </x:row>
    <x:row r="24" ht="85" customHeight="1">
      <x:c r="A24" s="44" t="str">
        <x:v>MOB-016</x:v>
      </x:c>
      <x:c r="B24" s="44" t="str">
        <x:v>LOCAL DEV</x:v>
      </x:c>
      <x:c r="C24" s="44" t="str">
        <x:v>P1 - Required</x:v>
      </x:c>
      <x:c r="D24" s="44" t="str">
        <x:v>LOCAL DEV • 390×844 • Phone portrait</x:v>
      </x:c>
      <x:c r="E24" s="48" t="str">
        <x:v>Pass</x:v>
      </x:c>
      <x:c r="F24" s="48" t="str">
        <x:v>PREVIOUS RESULT: Blocked. HUMAN / ENVIRONMENT FOLLOW-UP REQUIRED: Local DEV Reactor at 390×844: page scrollWidth 375px, viewport 390px, iframe 349×488px; no page horizontal overflow. Full gameplay and controls at this size not all exercised. Remaining acceptance criteria were not established in this browser session; complete on the specified supported device/profile or with the missing deterministic setup, then update from direct evidence.
NEW RESULT: PARTIAL; RUNNABLE.
REASON: Actual requested viewport verified in owned DEV. Reactor remains one fresh six-cell run with its DEV inspector; no game/outer document overflow and normal powers retain nonzero bounds. Remaining Orbit, menu/pause/result, courtesy/reward/fullscreen assertions require their own journey.
SCOPE: LOCAL DEV actual viewport matrix with Reactor inspector
V3: Blocked [ENVIRONMENT_SETUP]. Proven already: Actual requested viewport verified in owned DEV. Reactor remains one fresh six-cell run with its DEV inspector; no game/outer document overflow and normal powers retain nonzero bounds. Remaining Orbit, menu/pause/result, courtesy/reward/fullscreen assertions require their own journey.
Remaining: At this exact requested DEV size: Orbit menu/active/pause/result, site Home/navigation/footer, Controls/help, courtesy/reward/ads, and native fullscreen pointer/layout. Reactor ACTIVE inspector geometry is already proven.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At this exact requested DEV size: Orbit menu/active/pause/result, site Home/navigation/footer, Controls/help, courtesy/reward/ads, and native fullscreen pointer/layout. Reactor ACTIVE inspector geometry is already proven.
Session: V2-DEV; scope: LOCAL DEV actual viewport matrix with Reactor inspector. See QA_FINALIZATION_V3_JOURNAL.json#MOB-016 and HANDOFF_AND_FIX_QUEUE.md.
FINAL AI 4B.2 (2026-10-07): Pass. Exact DEV viewport 390×844 matched requested size/DPR1. Retained V2 menu/state evidence; current both-game active/paused and rewarded mock surface geometry, same-run/board before-after snapshots; no parent overflow or game-document scrolling. Additional Game DEV and host inspector/tooltips plus courtesy fit each size. Reactor actual Pause/Resume at all13sizes; Orbit Pause/Resume and hit targets verified. DEV home/nav/footer fit, may scroll below game. Emulated responsive criterion only; physical touch/fullscreen are separate rows, not asserted here.
Session/evidence: S18; QA_Evidence/viewport-matrix.json; QA_Evidence/viewport-matrix-additional.json; QA_Evidence/dev-home-viewport-matrix.json.</x:v>
      </x:c>
      <x:c r="G24" s="44" t="str">
        <x:v>Emulation result only unless actual hardware used. Complete public game tests separately.</x:v>
      </x:c>
      <x:c r="H24" s="44" t="str">
        <x:v>Set browser viewport 390×844. Test home/nav/footer and BOTH games. Record actual iframe width×height, browser/device, zoom and evidence. Also open both DEV panels, tooltip, courtesy and rewarded states.</x:v>
      </x:c>
      <x:c r="I24" s="44" t="str">
        <x:v>No horizontal website overflow or game-document scrolling/clipping. Gameplay controls remain usable; website may scroll below game; scoped panels may scroll. No state reset on resizing.</x:v>
      </x:c>
      <x:c r="J24" s="48" t="str">
        <x:v>C:/Users/mlgjm/OneDrive/Desktop/GameWebsite/outputs/qa-recovery-v2/QA_Evidence/responsive-dev-reactor-panel-matrix.json; C:/Users/mlgjm/OneDrive/Desktop/GameWebsite/outputs/qa-recovery-v2/QA_Evidence/responsive-dev-reactor-panel-390x844.png; historical: C:/Users/mlgjm/OneDrive/Desktop/GameWebsite/outputs/qa-20261006/QA_Evidence/notes/browser-observations.md; V3 journal: C:/Users/mlgjm/OneDrive/Desktop/GameWebsite/outputs/qa-finalization-v3/QA_FINALIZATION_V3_JOURNAL.json#MOB-016; FINAL AI: C:/Users/mlgjm/OneDrive/Desktop/GameWebsite/outputs/qa-final-ai/2026-10-07_000739/QA_Evidence/viewport-matrix.json; QA_Evidence/viewport-matrix-additional.json; QA_Evidence/dev-home-viewport-matrix.json</x:v>
      </x:c>
      <x:c r="K24" s="48"/>
      <x:c r="L24" s="48" t="str">
        <x:v>S18</x:v>
      </x:c>
      <x:c r="M24" s="48" t="str">
        <x:v>Codex Final AI QA</x:v>
      </x:c>
      <x:c r="N24" s="58" t="n">
        <x:v>46301.8803125</x:v>
      </x:c>
      <x:c r="O24" s="55" t="str"/>
    </x:row>
    <x:row r="25" ht="85" customHeight="1">
      <x:c r="A25" s="42" t="str">
        <x:v>MOB-017</x:v>
      </x:c>
      <x:c r="B25" s="42" t="str">
        <x:v>LOCAL DEV</x:v>
      </x:c>
      <x:c r="C25" s="42" t="str">
        <x:v>P1 - Required</x:v>
      </x:c>
      <x:c r="D25" s="42" t="str">
        <x:v>LOCAL DEV • 412×915 • Phone portrait</x:v>
      </x:c>
      <x:c r="E25" s="48" t="str">
        <x:v>Pass</x:v>
      </x:c>
      <x:c r="F25" s="48" t="str">
        <x:v>PREVIOUS RESULT: Blocked. HUMAN / ENVIRONMENT FOLLOW-UP REQUIRED: Local DEV Reactor at 412×915: page scrollWidth 397px, viewport 412px, iframe 371×529px; no page horizontal overflow. Full gameplay and controls at this size not all exercised. Remaining acceptance criteria were not established in this browser session; complete on the specified supported device/profile or with the missing deterministic setup, then update from direct evidence.
NEW RESULT: PARTIAL; RUNNABLE.
REASON: Actual requested viewport verified in owned DEV. Reactor remains one fresh six-cell run with its DEV inspector; no game/outer document overflow and normal powers retain nonzero bounds. Remaining Orbit, menu/pause/result, courtesy/reward/fullscreen assertions require their own journey.
SCOPE: LOCAL DEV actual viewport matrix with Reactor inspector
V3: Blocked [ENVIRONMENT_SETUP]. Proven already: Actual requested viewport verified in owned DEV. Reactor remains one fresh six-cell run with its DEV inspector; no game/outer document overflow and normal powers retain nonzero bounds. Remaining Orbit, menu/pause/result, courtesy/reward/fullscreen assertions require their own journey.
Remaining: At this exact requested DEV size: Orbit menu/active/pause/result, site Home/navigation/footer, Controls/help, courtesy/reward/ads, and native fullscreen pointer/layout. Reactor ACTIVE inspector geometry is already proven.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At this exact requested DEV size: Orbit menu/active/pause/result, site Home/navigation/footer, Controls/help, courtesy/reward/ads, and native fullscreen pointer/layout. Reactor ACTIVE inspector geometry is already proven.
Session: V2-DEV; scope: LOCAL DEV actual viewport matrix with Reactor inspector. See QA_FINALIZATION_V3_JOURNAL.json#MOB-017 and HANDOFF_AND_FIX_QUEUE.md.
FINAL AI 4B.2 (2026-10-07): Pass. Exact DEV viewport 412×915 matched requested size/DPR1. Retained V2 menu/state evidence; current both-game active/paused and rewarded mock surface geometry, same-run/board before-after snapshots; no parent overflow or game-document scrolling. Additional Game DEV and host inspector/tooltips plus courtesy fit each size. Reactor actual Pause/Resume at all13sizes; Orbit Pause/Resume and hit targets verified. DEV home/nav/footer fit, may scroll below game. Emulated responsive criterion only; physical touch/fullscreen are separate rows, not asserted here.
Session/evidence: S18; QA_Evidence/viewport-matrix.json; QA_Evidence/viewport-matrix-additional.json; QA_Evidence/dev-home-viewport-matrix.json.</x:v>
      </x:c>
      <x:c r="G25" s="42" t="str">
        <x:v>Emulation result only unless actual hardware used. Complete public game tests separately.</x:v>
      </x:c>
      <x:c r="H25" s="42" t="str">
        <x:v>Set browser viewport 412×915. Test home/nav/footer and BOTH games. Record actual iframe width×height, browser/device, zoom and evidence. Also open both DEV panels, tooltip, courtesy and rewarded states.</x:v>
      </x:c>
      <x:c r="I25" s="42" t="str">
        <x:v>No horizontal website overflow or game-document scrolling/clipping. Gameplay controls remain usable; website may scroll below game; scoped panels may scroll. No state reset on resizing.</x:v>
      </x:c>
      <x:c r="J25" s="48" t="str">
        <x:v>C:/Users/mlgjm/OneDrive/Desktop/GameWebsite/outputs/qa-recovery-v2/QA_Evidence/responsive-dev-reactor-panel-matrix.json; C:/Users/mlgjm/OneDrive/Desktop/GameWebsite/outputs/qa-recovery-v2/QA_Evidence/responsive-dev-reactor-panel-412x915.png; historical: C:/Users/mlgjm/OneDrive/Desktop/GameWebsite/outputs/qa-20261006/QA_Evidence/notes/browser-observations.md; V3 journal: C:/Users/mlgjm/OneDrive/Desktop/GameWebsite/outputs/qa-finalization-v3/QA_FINALIZATION_V3_JOURNAL.json#MOB-017; FINAL AI: C:/Users/mlgjm/OneDrive/Desktop/GameWebsite/outputs/qa-final-ai/2026-10-07_000739/QA_Evidence/viewport-matrix.json; QA_Evidence/viewport-matrix-additional.json; QA_Evidence/dev-home-viewport-matrix.json</x:v>
      </x:c>
      <x:c r="K25" s="48"/>
      <x:c r="L25" s="48" t="str">
        <x:v>S18</x:v>
      </x:c>
      <x:c r="M25" s="48" t="str">
        <x:v>Codex Final AI QA</x:v>
      </x:c>
      <x:c r="N25" s="58" t="n">
        <x:v>46301.8803125</x:v>
      </x:c>
      <x:c r="O25" s="54" t="str"/>
    </x:row>
    <x:row r="26" ht="85" customHeight="1">
      <x:c r="A26" s="44" t="str">
        <x:v>MOB-018</x:v>
      </x:c>
      <x:c r="B26" s="44" t="str">
        <x:v>LOCAL DEV</x:v>
      </x:c>
      <x:c r="C26" s="44" t="str">
        <x:v>P1 - Required</x:v>
      </x:c>
      <x:c r="D26" s="44" t="str">
        <x:v>LOCAL DEV • 430×932 • Phone portrait</x:v>
      </x:c>
      <x:c r="E26" s="48" t="str">
        <x:v>Pass</x:v>
      </x:c>
      <x:c r="F26" s="48" t="str">
        <x:v>PREVIOUS RESULT: Blocked. HUMAN / ENVIRONMENT FOLLOW-UP REQUIRED: Local DEV Reactor at 430×932: page scrollWidth 415px, viewport 430px, iframe 389×539px; no page horizontal overflow. Full gameplay and controls at this size not all exercised. Remaining acceptance criteria were not established in this browser session; complete on the specified supported device/profile or with the missing deterministic setup, then update from direct evidence.
NEW RESULT: PARTIAL; RUNNABLE.
REASON: Actual requested viewport verified in owned DEV. Reactor remains one fresh six-cell run with its DEV inspector; no game/outer document overflow and normal powers retain nonzero bounds. Remaining Orbit, menu/pause/result, courtesy/reward/fullscreen assertions require their own journey.
SCOPE: LOCAL DEV actual viewport matrix with Reactor inspector
V3: Blocked [ENVIRONMENT_SETUP]. Proven already: Actual requested viewport verified in owned DEV. Reactor remains one fresh six-cell run with its DEV inspector; no game/outer document overflow and normal powers retain nonzero bounds. Remaining Orbit, menu/pause/result, courtesy/reward/fullscreen assertions require their own journey.
Remaining: At this exact requested DEV size: Orbit menu/active/pause/result, site Home/navigation/footer, Controls/help, courtesy/reward/ads, and native fullscreen pointer/layout. Reactor ACTIVE inspector geometry is already proven.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At this exact requested DEV size: Orbit menu/active/pause/result, site Home/navigation/footer, Controls/help, courtesy/reward/ads, and native fullscreen pointer/layout. Reactor ACTIVE inspector geometry is already proven.
Session: V2-DEV; scope: LOCAL DEV actual viewport matrix with Reactor inspector. See QA_FINALIZATION_V3_JOURNAL.json#MOB-018 and HANDOFF_AND_FIX_QUEUE.md.
FINAL AI 4B.2 (2026-10-07): Pass. Exact DEV viewport 430×932 matched requested size/DPR1. Retained V2 menu/state evidence; current both-game active/paused and rewarded mock surface geometry, same-run/board before-after snapshots; no parent overflow or game-document scrolling. Additional Game DEV and host inspector/tooltips plus courtesy fit each size. Reactor actual Pause/Resume at all13sizes; Orbit Pause/Resume and hit targets verified. DEV home/nav/footer fit, may scroll below game. Emulated responsive criterion only; physical touch/fullscreen are separate rows, not asserted here.
Session/evidence: S18; QA_Evidence/viewport-matrix.json; QA_Evidence/viewport-matrix-additional.json; QA_Evidence/dev-home-viewport-matrix.json.</x:v>
      </x:c>
      <x:c r="G26" s="44" t="str">
        <x:v>Emulation result only unless actual hardware used. Complete public game tests separately.</x:v>
      </x:c>
      <x:c r="H26" s="44" t="str">
        <x:v>Set browser viewport 430×932. Test home/nav/footer and BOTH games. Record actual iframe width×height, browser/device, zoom and evidence. Also open both DEV panels, tooltip, courtesy and rewarded states.</x:v>
      </x:c>
      <x:c r="I26" s="44" t="str">
        <x:v>No horizontal website overflow or game-document scrolling/clipping. Gameplay controls remain usable; website may scroll below game; scoped panels may scroll. No state reset on resizing.</x:v>
      </x:c>
      <x:c r="J26" s="48" t="str">
        <x:v>C:/Users/mlgjm/OneDrive/Desktop/GameWebsite/outputs/qa-recovery-v2/QA_Evidence/responsive-dev-reactor-panel-matrix.json; C:/Users/mlgjm/OneDrive/Desktop/GameWebsite/outputs/qa-recovery-v2/QA_Evidence/responsive-dev-reactor-panel-430x932.png; historical: C:/Users/mlgjm/OneDrive/Desktop/GameWebsite/outputs/qa-20261006/QA_Evidence/notes/browser-observations.md; V3 journal: C:/Users/mlgjm/OneDrive/Desktop/GameWebsite/outputs/qa-finalization-v3/QA_FINALIZATION_V3_JOURNAL.json#MOB-018; FINAL AI: C:/Users/mlgjm/OneDrive/Desktop/GameWebsite/outputs/qa-final-ai/2026-10-07_000739/QA_Evidence/viewport-matrix.json; QA_Evidence/viewport-matrix-additional.json; QA_Evidence/dev-home-viewport-matrix.json</x:v>
      </x:c>
      <x:c r="K26" s="48"/>
      <x:c r="L26" s="48" t="str">
        <x:v>S18</x:v>
      </x:c>
      <x:c r="M26" s="48" t="str">
        <x:v>Codex Final AI QA</x:v>
      </x:c>
      <x:c r="N26" s="58" t="n">
        <x:v>46301.8803125</x:v>
      </x:c>
      <x:c r="O26" s="55" t="str"/>
    </x:row>
    <x:row r="27" ht="85" customHeight="1">
      <x:c r="A27" s="42" t="str">
        <x:v>MOB-019</x:v>
      </x:c>
      <x:c r="B27" s="42" t="str">
        <x:v>LOCAL DEV</x:v>
      </x:c>
      <x:c r="C27" s="42" t="str">
        <x:v>P0 - Critical</x:v>
      </x:c>
      <x:c r="D27" s="42" t="str">
        <x:v>LOCAL DEV • 640×360 • Minimum landscape</x:v>
      </x:c>
      <x:c r="E27" s="48" t="str">
        <x:v>Pass</x:v>
      </x:c>
      <x:c r="F27" s="48" t="str">
        <x:v>PREVIOUS RESULT: Blocked. HUMAN / ENVIRONMENT FOLLOW-UP REQUIRED: Local DEV Reactor at 640×360: page scrollWidth 625px, viewport 640px, iframe 239×318px; no page horizontal overflow. Full gameplay and controls at this size not all exercised. Remaining acceptance criteria were not established in this browser session; complete on the specified supported device/profile or with the missing deterministic setup, then update from direct evidence.
NEW RESULT: FAIL; COMPLETED.
REASON: Verified V2-004 also in owned DEV: actual requested viewport yields constrained Reactor allocation below280px and both Cool/Upgrade variants have zero size. Free inventory exists but cannot be used. No new root reproduction loop; same selector and actual matrix measurement. Remaining Orbit/presentation assertions are not claimed executed.
SCOPE: LOCAL DEV actual viewport matrix with Reactor inspector
V3: Fail; retained V2 evidence, not rerun. Confirmed contradiction linked to V2-004.
Outstanding subchecks: After confirmed fix, rerun original expected result: No horizontal website overflow or game-document scrolling/clipping. Gameplay controls remain usable; website may scroll below game; scoped panels may scroll. No state reset on resizing. Other compound subchecks remain unverified: site navigation/footer, Controls/help, ads/courtesy where applicable, native fullscreen/pointer behavior and device input. Failure evidence establishes hidden powers/HUD only; V2 matrices retain covered states.
Owner: Engineer. Next: Engineer addresses V2-004; Human tester retests listed assertions against confirmed fix and records actual evidence.
Session: V2-DEV; scope: LOCAL DEV actual viewport matrix with Reactor inspector. See QA_FINALIZATION_V3_JOURNAL.json#MOB-019 and HANDOFF_AND_FIX_QUEUE.md.
4B.1 retest record (2026-10-06): At viewport 640x360 the Reactor iframe measured 239x318 with controls present/actionable and no iframe scroll. Desktop emulation and Reactor-only subcheck; remaining assertions are listed in queue.
FINAL AI 4B.2 (2026-10-07): Pass. Exact DEV viewport 640×360 matched requested size/DPR1. Retained V2 menu/state evidence; current both-game active/paused and rewarded mock surface geometry, same-run/board before-after snapshots; no parent overflow or game-document scrolling. Additional Game DEV and host inspector/tooltips plus courtesy fit each size. Reactor actual Pause/Resume at all13sizes; Orbit Pause/Resume and hit targets verified. DEV home/nav/footer fit, may scroll below game. Emulated responsive criterion only; physical touch/fullscreen are separate rows, not asserted here.
Session/evidence: S18; QA_Evidence/viewport-matrix.json; QA_Evidence/viewport-matrix-additional.json; QA_Evidence/dev-home-viewport-matrix.json.</x:v>
      </x:c>
      <x:c r="G27" s="42" t="str">
        <x:v>Emulation result only unless actual hardware used. Complete public game tests separately.</x:v>
      </x:c>
      <x:c r="H27" s="42" t="str">
        <x:v>Set browser viewport 640×360. Test home/nav/footer and BOTH games. Record actual iframe width×height, browser/device, zoom and evidence. Also open both DEV panels, tooltip, courtesy and rewarded states.</x:v>
      </x:c>
      <x:c r="I27" s="42" t="str">
        <x:v>No horizontal website overflow or game-document scrolling/clipping. Gameplay controls remain usable; website may scroll below game; scoped panels may scroll. No state reset on resizing.</x:v>
      </x:c>
      <x:c r="J27" s="48" t="str">
        <x:v>C:/Users/mlgjm/OneDrive/Desktop/GameWebsite/outputs/qa-recovery-v2/QA_Evidence/responsive-dev-reactor-panel-matrix.json; C:/Users/mlgjm/OneDrive/Desktop/GameWebsite/outputs/qa-recovery-v2/QA_Evidence/responsive-dev-reactor-panel-640x360.png; historical: C:/Users/mlgjm/OneDrive/Desktop/GameWebsite/outputs/qa-20261006/QA_Evidence/notes/browser-observations.md; V3 journal: C:/Users/mlgjm/OneDrive/Desktop/GameWebsite/outputs/qa-finalization-v3/QA_FINALIZATION_V3_JOURNAL.json#MOB-019; reactor-dev-640x360.png; FINAL AI: C:/Users/mlgjm/OneDrive/Desktop/GameWebsite/outputs/qa-final-ai/2026-10-07_000739/QA_Evidence/viewport-matrix.json; QA_Evidence/viewport-matrix-additional.json; QA_Evidence/dev-home-viewport-matrix.json</x:v>
      </x:c>
      <x:c r="K27" s="48" t="str">
        <x:v>V2-004</x:v>
      </x:c>
      <x:c r="L27" s="48" t="str">
        <x:v>S18</x:v>
      </x:c>
      <x:c r="M27" s="48" t="str">
        <x:v>Codex Final AI QA</x:v>
      </x:c>
      <x:c r="N27" s="58" t="n">
        <x:v>46301.8803125</x:v>
      </x:c>
      <x:c r="O27" s="54" t="str"/>
    </x:row>
    <x:row r="28" ht="85" customHeight="1">
      <x:c r="A28" s="44" t="str">
        <x:v>MOB-020</x:v>
      </x:c>
      <x:c r="B28" s="44" t="str">
        <x:v>LOCAL DEV</x:v>
      </x:c>
      <x:c r="C28" s="44" t="str">
        <x:v>P1 - Required</x:v>
      </x:c>
      <x:c r="D28" s="44" t="str">
        <x:v>LOCAL DEV • 844×390 • Phone landscape</x:v>
      </x:c>
      <x:c r="E28" s="48" t="str">
        <x:v>Pass</x:v>
      </x:c>
      <x:c r="F28" s="48" t="str">
        <x:v>PREVIOUS RESULT: Blocked. HUMAN / ENVIRONMENT FOLLOW-UP REQUIRED: Local DEV Reactor at 844×390: page scrollWidth 829px, viewport 844px, iframe 269×358px; no page horizontal overflow. Full gameplay and controls at this size not all exercised. Remaining acceptance criteria were not established in this browser session; complete on the specified supported device/profile or with the missing deterministic setup, then update from direct evidence.
NEW RESULT: FAIL; COMPLETED.
REASON: Verified V2-004 also in owned DEV: actual requested viewport yields constrained Reactor allocation below280px and both Cool/Upgrade variants have zero size. Free inventory exists but cannot be used. No new root reproduction loop; same selector and actual matrix measurement. Remaining Orbit/presentation assertions are not claimed executed.
SCOPE: LOCAL DEV actual viewport matrix with Reactor inspector
V3: Fail; retained V2 evidence, not rerun. Confirmed contradiction linked to V2-004.
Outstanding subchecks: After confirmed fix, rerun original expected result: No horizontal website overflow or game-document scrolling/clipping. Gameplay controls remain usable; website may scroll below game; scoped panels may scroll. No state reset on resizing. Other compound subchecks remain unverified: site navigation/footer, Controls/help, ads/courtesy where applicable, native fullscreen/pointer behavior and device input. Failure evidence establishes hidden powers/HUD only; V2 matrices retain covered states.
Owner: Engineer. Next: Engineer addresses V2-004; Human tester retests listed assertions against confirmed fix and records actual evidence.
Session: V2-DEV; scope: LOCAL DEV actual viewport matrix with Reactor inspector. See QA_FINALIZATION_V3_JOURNAL.json#MOB-020 and HANDOFF_AND_FIX_QUEUE.md.
4B.1 retest record (2026-10-06): At viewport 844x390 the Reactor iframe measured 269x358 with controls present/actionable and no iframe scroll. Desktop emulation and Reactor-only subcheck; remaining assertions are listed in queue.
FINAL AI 4B.2 (2026-10-07): Pass. Exact DEV viewport 844×390 matched requested size/DPR1. Retained V2 menu/state evidence; current both-game active/paused and rewarded mock surface geometry, same-run/board before-after snapshots; no parent overflow or game-document scrolling. Additional Game DEV and host inspector/tooltips plus courtesy fit each size. Reactor actual Pause/Resume at all13sizes; Orbit Pause/Resume and hit targets verified. DEV home/nav/footer fit, may scroll below game. Emulated responsive criterion only; physical touch/fullscreen are separate rows, not asserted here.
Session/evidence: S18; QA_Evidence/viewport-matrix.json; QA_Evidence/viewport-matrix-additional.json; QA_Evidence/dev-home-viewport-matrix.json.</x:v>
      </x:c>
      <x:c r="G28" s="44" t="str">
        <x:v>Emulation result only unless actual hardware used. Complete public game tests separately.</x:v>
      </x:c>
      <x:c r="H28" s="44" t="str">
        <x:v>Set browser viewport 844×390. Test home/nav/footer and BOTH games. Record actual iframe width×height, browser/device, zoom and evidence. Also open both DEV panels, tooltip, courtesy and rewarded states.</x:v>
      </x:c>
      <x:c r="I28" s="44" t="str">
        <x:v>No horizontal website overflow or game-document scrolling/clipping. Gameplay controls remain usable; website may scroll below game; scoped panels may scroll. No state reset on resizing.</x:v>
      </x:c>
      <x:c r="J28" s="48" t="str">
        <x:v>C:/Users/mlgjm/OneDrive/Desktop/GameWebsite/outputs/qa-recovery-v2/QA_Evidence/responsive-dev-reactor-panel-matrix.json; C:/Users/mlgjm/OneDrive/Desktop/GameWebsite/outputs/qa-recovery-v2/QA_Evidence/responsive-dev-reactor-panel-844x390.png; historical: C:/Users/mlgjm/OneDrive/Desktop/GameWebsite/outputs/qa-20261006/QA_Evidence/notes/browser-observations.md; V3 journal: C:/Users/mlgjm/OneDrive/Desktop/GameWebsite/outputs/qa-finalization-v3/QA_FINALIZATION_V3_JOURNAL.json#MOB-020; reactor-dev-844x390.png; FINAL AI: C:/Users/mlgjm/OneDrive/Desktop/GameWebsite/outputs/qa-final-ai/2026-10-07_000739/QA_Evidence/viewport-matrix.json; QA_Evidence/viewport-matrix-additional.json; QA_Evidence/dev-home-viewport-matrix.json</x:v>
      </x:c>
      <x:c r="K28" s="48" t="str">
        <x:v>V2-004</x:v>
      </x:c>
      <x:c r="L28" s="48" t="str">
        <x:v>S18</x:v>
      </x:c>
      <x:c r="M28" s="48" t="str">
        <x:v>Codex Final AI QA</x:v>
      </x:c>
      <x:c r="N28" s="58" t="n">
        <x:v>46301.8803125</x:v>
      </x:c>
      <x:c r="O28" s="55" t="str"/>
    </x:row>
    <x:row r="29" ht="85" customHeight="1">
      <x:c r="A29" s="42" t="str">
        <x:v>MOB-021</x:v>
      </x:c>
      <x:c r="B29" s="42" t="str">
        <x:v>LOCAL DEV</x:v>
      </x:c>
      <x:c r="C29" s="42" t="str">
        <x:v>P1 - Required</x:v>
      </x:c>
      <x:c r="D29" s="42" t="str">
        <x:v>LOCAL DEV • 932×430 • Phone landscape</x:v>
      </x:c>
      <x:c r="E29" s="48" t="str">
        <x:v>Pass</x:v>
      </x:c>
      <x:c r="F29" s="48" t="str">
        <x:v>PREVIOUS RESULT: Blocked. HUMAN / ENVIRONMENT FOLLOW-UP REQUIRED: Local DEV Reactor at 932×430: page scrollWidth 917px, viewport 932px, iframe 269×358px; no page horizontal overflow. Full gameplay and controls at this size not all exercised. Remaining acceptance criteria were not established in this browser session; complete on the specified supported device/profile or with the missing deterministic setup, then update from direct evidence.
NEW RESULT: FAIL; COMPLETED.
REASON: Verified V2-004 also in owned DEV: actual requested viewport yields constrained Reactor allocation below280px and both Cool/Upgrade variants have zero size. Free inventory exists but cannot be used. No new root reproduction loop; same selector and actual matrix measurement. Remaining Orbit/presentation assertions are not claimed executed.
SCOPE: LOCAL DEV actual viewport matrix with Reactor inspector
V3: Fail; retained V2 evidence, not rerun. Confirmed contradiction linked to V2-004.
Outstanding subchecks: After confirmed fix, rerun original expected result: No horizontal website overflow or game-document scrolling/clipping. Gameplay controls remain usable; website may scroll below game; scoped panels may scroll. No state reset on resizing. Other compound subchecks remain unverified: site navigation/footer, Controls/help, ads/courtesy where applicable, native fullscreen/pointer behavior and device input. Failure evidence establishes hidden powers/HUD only; V2 matrices retain covered states.
Owner: Engineer. Next: Engineer addresses V2-004; Human tester retests listed assertions against confirmed fix and records actual evidence.
Session: V2-DEV; scope: LOCAL DEV actual viewport matrix with Reactor inspector. See QA_FINALIZATION_V3_JOURNAL.json#MOB-021 and HANDOFF_AND_FIX_QUEUE.md.
4B.1 retest record (2026-10-06): At viewport 932x430 the Reactor iframe measured 269x358 with controls present/actionable and no iframe scroll. Desktop emulation and Reactor-only subcheck; remaining assertions are listed in queue.
FINAL AI 4B.2 (2026-10-07): Pass. Exact DEV viewport 932×430 matched requested size/DPR1. Retained V2 menu/state evidence; current both-game active/paused and rewarded mock surface geometry, same-run/board before-after snapshots; no parent overflow or game-document scrolling. Additional Game DEV and host inspector/tooltips plus courtesy fit each size. Reactor actual Pause/Resume at all13sizes; Orbit Pause/Resume and hit targets verified. DEV home/nav/footer fit, may scroll below game. Emulated responsive criterion only; physical touch/fullscreen are separate rows, not asserted here.
Session/evidence: S18; QA_Evidence/viewport-matrix.json; QA_Evidence/viewport-matrix-additional.json; QA_Evidence/dev-home-viewport-matrix.json.</x:v>
      </x:c>
      <x:c r="G29" s="42" t="str">
        <x:v>Emulation result only unless actual hardware used. Complete public game tests separately.</x:v>
      </x:c>
      <x:c r="H29" s="42" t="str">
        <x:v>Set browser viewport 932×430. Test home/nav/footer and BOTH games. Record actual iframe width×height, browser/device, zoom and evidence. Also open both DEV panels, tooltip, courtesy and rewarded states.</x:v>
      </x:c>
      <x:c r="I29" s="42" t="str">
        <x:v>No horizontal website overflow or game-document scrolling/clipping. Gameplay controls remain usable; website may scroll below game; scoped panels may scroll. No state reset on resizing.</x:v>
      </x:c>
      <x:c r="J29" s="48" t="str">
        <x:v>C:/Users/mlgjm/OneDrive/Desktop/GameWebsite/outputs/qa-recovery-v2/QA_Evidence/responsive-dev-reactor-panel-matrix.json; C:/Users/mlgjm/OneDrive/Desktop/GameWebsite/outputs/qa-recovery-v2/QA_Evidence/responsive-dev-reactor-panel-932x430.png; historical: C:/Users/mlgjm/OneDrive/Desktop/GameWebsite/outputs/qa-20261006/QA_Evidence/notes/browser-observations.md; V3 journal: C:/Users/mlgjm/OneDrive/Desktop/GameWebsite/outputs/qa-finalization-v3/QA_FINALIZATION_V3_JOURNAL.json#MOB-021; reactor-dev-932x430.png; FINAL AI: C:/Users/mlgjm/OneDrive/Desktop/GameWebsite/outputs/qa-final-ai/2026-10-07_000739/QA_Evidence/viewport-matrix.json; QA_Evidence/viewport-matrix-additional.json; QA_Evidence/dev-home-viewport-matrix.json</x:v>
      </x:c>
      <x:c r="K29" s="48" t="str">
        <x:v>V2-004</x:v>
      </x:c>
      <x:c r="L29" s="48" t="str">
        <x:v>S18</x:v>
      </x:c>
      <x:c r="M29" s="48" t="str">
        <x:v>Codex Final AI QA</x:v>
      </x:c>
      <x:c r="N29" s="58" t="n">
        <x:v>46301.8803125</x:v>
      </x:c>
      <x:c r="O29" s="54" t="str"/>
    </x:row>
    <x:row r="30" ht="85" customHeight="1">
      <x:c r="A30" s="44" t="str">
        <x:v>MOB-022</x:v>
      </x:c>
      <x:c r="B30" s="44" t="str">
        <x:v>LOCAL DEV</x:v>
      </x:c>
      <x:c r="C30" s="44" t="str">
        <x:v>P1 - Required</x:v>
      </x:c>
      <x:c r="D30" s="44" t="str">
        <x:v>LOCAL DEV • 768×1024 • Tablet portrait</x:v>
      </x:c>
      <x:c r="E30" s="48" t="str">
        <x:v>Pass</x:v>
      </x:c>
      <x:c r="F30" s="48" t="str">
        <x:v>PREVIOUS RESULT: Blocked. HUMAN / ENVIRONMENT FOLLOW-UP REQUIRED: Local DEV Reactor at 768×1024: page scrollWidth 753px, viewport 768px, iframe 490×653px; no page horizontal overflow. Full gameplay and controls at this size not all exercised. Remaining acceptance criteria were not established in this browser session; complete on the specified supported device/profile or with the missing deterministic setup, then update from direct evidence.
NEW RESULT: PARTIAL; RUNNABLE.
REASON: Actual requested viewport verified in owned DEV. Reactor remains one fresh six-cell run with its DEV inspector; no game/outer document overflow and normal powers retain nonzero bounds. Remaining Orbit, menu/pause/result, courtesy/reward/fullscreen assertions require their own journey.
SCOPE: LOCAL DEV actual viewport matrix with Reactor inspector
V3: Blocked [ENVIRONMENT_SETUP]. Proven already: Actual requested viewport verified in owned DEV. Reactor remains one fresh six-cell run with its DEV inspector; no game/outer document overflow and normal powers retain nonzero bounds. Remaining Orbit, menu/pause/result, courtesy/reward/fullscreen assertions require their own journey.
Remaining: At this exact requested DEV size: Orbit menu/active/pause/result, site Home/navigation/footer, Controls/help, courtesy/reward/ads, and native fullscreen pointer/layout. Reactor ACTIVE inspector geometry is already proven.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At this exact requested DEV size: Orbit menu/active/pause/result, site Home/navigation/footer, Controls/help, courtesy/reward/ads, and native fullscreen pointer/layout. Reactor ACTIVE inspector geometry is already proven.
Session: V2-DEV; scope: LOCAL DEV actual viewport matrix with Reactor inspector. See QA_FINALIZATION_V3_JOURNAL.json#MOB-022 and HANDOFF_AND_FIX_QUEUE.md.
FINAL AI 4B.2 (2026-10-07): Pass. Exact DEV viewport 768×1024 matched requested size/DPR1. Retained V2 menu/state evidence; current both-game active/paused and rewarded mock surface geometry, same-run/board before-after snapshots; no parent overflow or game-document scrolling. Additional Game DEV and host inspector/tooltips plus courtesy fit each size. Reactor actual Pause/Resume at all13sizes; Orbit Pause/Resume and hit targets verified. DEV home/nav/footer fit, may scroll below game. Emulated responsive criterion only; physical touch/fullscreen are separate rows, not asserted here.
Session/evidence: S18; QA_Evidence/viewport-matrix.json; QA_Evidence/viewport-matrix-additional.json; QA_Evidence/dev-home-viewport-matrix.json.</x:v>
      </x:c>
      <x:c r="G30" s="44" t="str">
        <x:v>Emulation result only unless actual hardware used. Complete public game tests separately.</x:v>
      </x:c>
      <x:c r="H30" s="44" t="str">
        <x:v>Set browser viewport 768×1024. Test home/nav/footer and BOTH games. Record actual iframe width×height, browser/device, zoom and evidence. Also open both DEV panels, tooltip, courtesy and rewarded states.</x:v>
      </x:c>
      <x:c r="I30" s="44" t="str">
        <x:v>No horizontal website overflow or game-document scrolling/clipping. Gameplay controls remain usable; website may scroll below game; scoped panels may scroll. No state reset on resizing.</x:v>
      </x:c>
      <x:c r="J30" s="48" t="str">
        <x:v>C:/Users/mlgjm/OneDrive/Desktop/GameWebsite/outputs/qa-recovery-v2/QA_Evidence/responsive-dev-reactor-panel-matrix.json; C:/Users/mlgjm/OneDrive/Desktop/GameWebsite/outputs/qa-recovery-v2/QA_Evidence/responsive-dev-reactor-panel-768x1024.png; historical: C:/Users/mlgjm/OneDrive/Desktop/GameWebsite/outputs/qa-20261006/QA_Evidence/notes/browser-observations.md; V3 journal: C:/Users/mlgjm/OneDrive/Desktop/GameWebsite/outputs/qa-finalization-v3/QA_FINALIZATION_V3_JOURNAL.json#MOB-022; FINAL AI: C:/Users/mlgjm/OneDrive/Desktop/GameWebsite/outputs/qa-final-ai/2026-10-07_000739/QA_Evidence/viewport-matrix.json; QA_Evidence/viewport-matrix-additional.json; QA_Evidence/dev-home-viewport-matrix.json</x:v>
      </x:c>
      <x:c r="K30" s="48"/>
      <x:c r="L30" s="48" t="str">
        <x:v>S18</x:v>
      </x:c>
      <x:c r="M30" s="48" t="str">
        <x:v>Codex Final AI QA</x:v>
      </x:c>
      <x:c r="N30" s="58" t="n">
        <x:v>46301.8803125</x:v>
      </x:c>
      <x:c r="O30" s="55" t="str"/>
    </x:row>
    <x:row r="31" ht="85" customHeight="1">
      <x:c r="A31" s="42" t="str">
        <x:v>MOB-023</x:v>
      </x:c>
      <x:c r="B31" s="42" t="str">
        <x:v>LOCAL DEV</x:v>
      </x:c>
      <x:c r="C31" s="42" t="str">
        <x:v>P1 - Required</x:v>
      </x:c>
      <x:c r="D31" s="42" t="str">
        <x:v>LOCAL DEV • 1024×768 • Tablet landscape</x:v>
      </x:c>
      <x:c r="E31" s="48" t="str">
        <x:v>Pass</x:v>
      </x:c>
      <x:c r="F31" s="48" t="str">
        <x:v>PREVIOUS RESULT: Blocked. HUMAN / ENVIRONMENT FOLLOW-UP REQUIRED: Local DEV Reactor at 1024×768: page scrollWidth 1009px, viewport 1024px, iframe 367×490px; no page horizontal overflow. Full gameplay and controls at this size not all exercised. Remaining acceptance criteria were not established in this browser session; complete on the specified supported device/profile or with the missing deterministic setup, then update from direct evidence.
NEW RESULT: PARTIAL; RUNNABLE.
REASON: Actual requested viewport verified in owned DEV. Reactor remains one fresh six-cell run with its DEV inspector; no game/outer document overflow and normal powers retain nonzero bounds. Remaining Orbit, menu/pause/result, courtesy/reward/fullscreen assertions require their own journey.
SCOPE: LOCAL DEV actual viewport matrix with Reactor inspector
V3: Blocked [ENVIRONMENT_SETUP]. Proven already: Actual requested viewport verified in owned DEV. Reactor remains one fresh six-cell run with its DEV inspector; no game/outer document overflow and normal powers retain nonzero bounds. Remaining Orbit, menu/pause/result, courtesy/reward/fullscreen assertions require their own journey.
Remaining: At this exact requested DEV size: Orbit menu/active/pause/result, site Home/navigation/footer, Controls/help, courtesy/reward/ads, and native fullscreen pointer/layout. Reactor ACTIVE inspector geometry is already proven.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At this exact requested DEV size: Orbit menu/active/pause/result, site Home/navigation/footer, Controls/help, courtesy/reward/ads, and native fullscreen pointer/layout. Reactor ACTIVE inspector geometry is already proven.
Session: V2-DEV; scope: LOCAL DEV actual viewport matrix with Reactor inspector. See QA_FINALIZATION_V3_JOURNAL.json#MOB-023 and HANDOFF_AND_FIX_QUEUE.md.
FINAL AI 4B.2 (2026-10-07): Pass. Exact DEV viewport 1024×768 matched requested size/DPR1. Retained V2 menu/state evidence; current both-game active/paused and rewarded mock surface geometry, same-run/board before-after snapshots; no parent overflow or game-document scrolling. Additional Game DEV and host inspector/tooltips plus courtesy fit each size. Reactor actual Pause/Resume at all13sizes; Orbit Pause/Resume and hit targets verified. DEV home/nav/footer fit, may scroll below game. Emulated responsive criterion only; physical touch/fullscreen are separate rows, not asserted here.
Session/evidence: S18; QA_Evidence/viewport-matrix.json; QA_Evidence/viewport-matrix-additional.json; QA_Evidence/dev-home-viewport-matrix.json.</x:v>
      </x:c>
      <x:c r="G31" s="42" t="str">
        <x:v>Emulation result only unless actual hardware used. Complete public game tests separately.</x:v>
      </x:c>
      <x:c r="H31" s="42" t="str">
        <x:v>Set browser viewport 1024×768. Test home/nav/footer and BOTH games. Record actual iframe width×height, browser/device, zoom and evidence. Also open both DEV panels, tooltip, courtesy and rewarded states.</x:v>
      </x:c>
      <x:c r="I31" s="42" t="str">
        <x:v>No horizontal website overflow or game-document scrolling/clipping. Gameplay controls remain usable; website may scroll below game; scoped panels may scroll. No state reset on resizing.</x:v>
      </x:c>
      <x:c r="J31" s="48" t="str">
        <x:v>C:/Users/mlgjm/OneDrive/Desktop/GameWebsite/outputs/qa-recovery-v2/QA_Evidence/responsive-dev-reactor-panel-matrix.json; C:/Users/mlgjm/OneDrive/Desktop/GameWebsite/outputs/qa-recovery-v2/QA_Evidence/responsive-dev-reactor-panel-1024x768.png; historical: C:/Users/mlgjm/OneDrive/Desktop/GameWebsite/outputs/qa-20261006/QA_Evidence/notes/browser-observations.md; V3 journal: C:/Users/mlgjm/OneDrive/Desktop/GameWebsite/outputs/qa-finalization-v3/QA_FINALIZATION_V3_JOURNAL.json#MOB-023; FINAL AI: C:/Users/mlgjm/OneDrive/Desktop/GameWebsite/outputs/qa-final-ai/2026-10-07_000739/QA_Evidence/viewport-matrix.json; QA_Evidence/viewport-matrix-additional.json; QA_Evidence/dev-home-viewport-matrix.json</x:v>
      </x:c>
      <x:c r="K31" s="48"/>
      <x:c r="L31" s="48" t="str">
        <x:v>S18</x:v>
      </x:c>
      <x:c r="M31" s="48" t="str">
        <x:v>Codex Final AI QA</x:v>
      </x:c>
      <x:c r="N31" s="58" t="n">
        <x:v>46301.8803125</x:v>
      </x:c>
      <x:c r="O31" s="54" t="str"/>
    </x:row>
    <x:row r="32" ht="85" customHeight="1">
      <x:c r="A32" s="44" t="str">
        <x:v>MOB-024</x:v>
      </x:c>
      <x:c r="B32" s="44" t="str">
        <x:v>LOCAL DEV</x:v>
      </x:c>
      <x:c r="C32" s="44" t="str">
        <x:v>P1 - Required</x:v>
      </x:c>
      <x:c r="D32" s="44" t="str">
        <x:v>LOCAL DEV • 1280×720 • Laptop</x:v>
      </x:c>
      <x:c r="E32" s="48" t="str">
        <x:v>Pass</x:v>
      </x:c>
      <x:c r="F32" s="48" t="str">
        <x:v>PREVIOUS RESULT: Blocked. HUMAN / ENVIRONMENT FOLLOW-UP REQUIRED: Local DEV Reactor at 1280×720: page scrollWidth 1265px, viewport 1280px, iframe 344×459px; no page horizontal overflow. Full gameplay and controls at this size not all exercised. Remaining acceptance criteria were not established in this browser session; complete on the specified supported device/profile or with the missing deterministic setup, then update from direct evidence.
NEW RESULT: PARTIAL; RUNNABLE.
REASON: Actual requested viewport verified in owned DEV. Reactor remains one fresh six-cell run with its DEV inspector; no game/outer document overflow and normal powers retain nonzero bounds. Remaining Orbit, menu/pause/result, courtesy/reward/fullscreen assertions require their own journey.
SCOPE: LOCAL DEV actual viewport matrix with Reactor inspector
V3: Blocked [ENVIRONMENT_SETUP]. Proven already: Actual requested viewport verified in owned DEV. Reactor remains one fresh six-cell run with its DEV inspector; no game/outer document overflow and normal powers retain nonzero bounds. Remaining Orbit, menu/pause/result, courtesy/reward/fullscreen assertions require their own journey.
Remaining: At this exact requested DEV size: Orbit menu/active/pause/result, site Home/navigation/footer, Controls/help, courtesy/reward/ads, and native fullscreen pointer/layout. Reactor ACTIVE inspector geometry is already proven.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At this exact requested DEV size: Orbit menu/active/pause/result, site Home/navigation/footer, Controls/help, courtesy/reward/ads, and native fullscreen pointer/layout. Reactor ACTIVE inspector geometry is already proven.
Session: V2-DEV; scope: LOCAL DEV actual viewport matrix with Reactor inspector. See QA_FINALIZATION_V3_JOURNAL.json#MOB-024 and HANDOFF_AND_FIX_QUEUE.md.
FINAL AI 4B.2 (2026-10-07): Pass. Exact DEV viewport 1280×720 matched requested size/DPR1. Retained V2 menu/state evidence; current both-game active/paused and rewarded mock surface geometry, same-run/board before-after snapshots; no parent overflow or game-document scrolling. Additional Game DEV and host inspector/tooltips plus courtesy fit each size. Reactor actual Pause/Resume at all13sizes; Orbit Pause/Resume and hit targets verified. DEV home/nav/footer fit, may scroll below game. Emulated responsive criterion only; physical touch/fullscreen are separate rows, not asserted here.
Session/evidence: S18; QA_Evidence/viewport-matrix.json; QA_Evidence/viewport-matrix-additional.json; QA_Evidence/dev-home-viewport-matrix.json.</x:v>
      </x:c>
      <x:c r="G32" s="44" t="str">
        <x:v>Emulation result only unless actual hardware used. Complete public game tests separately.</x:v>
      </x:c>
      <x:c r="H32" s="44" t="str">
        <x:v>Set browser viewport 1280×720. Test home/nav/footer and BOTH games. Record actual iframe width×height, browser/device, zoom and evidence. Also open both DEV panels, tooltip, courtesy and rewarded states.</x:v>
      </x:c>
      <x:c r="I32" s="44" t="str">
        <x:v>No horizontal website overflow or game-document scrolling/clipping. Gameplay controls remain usable; website may scroll below game; scoped panels may scroll. No state reset on resizing.</x:v>
      </x:c>
      <x:c r="J32" s="48" t="str">
        <x:v>C:/Users/mlgjm/OneDrive/Desktop/GameWebsite/outputs/qa-recovery-v2/QA_Evidence/responsive-dev-reactor-panel-matrix.json; C:/Users/mlgjm/OneDrive/Desktop/GameWebsite/outputs/qa-recovery-v2/QA_Evidence/responsive-dev-reactor-panel-1280x720.png; historical: C:/Users/mlgjm/OneDrive/Desktop/GameWebsite/outputs/qa-20261006/QA_Evidence/notes/browser-observations.md; V3 journal: C:/Users/mlgjm/OneDrive/Desktop/GameWebsite/outputs/qa-finalization-v3/QA_FINALIZATION_V3_JOURNAL.json#MOB-024; FINAL AI: C:/Users/mlgjm/OneDrive/Desktop/GameWebsite/outputs/qa-final-ai/2026-10-07_000739/QA_Evidence/viewport-matrix.json; QA_Evidence/viewport-matrix-additional.json; QA_Evidence/dev-home-viewport-matrix.json</x:v>
      </x:c>
      <x:c r="K32" s="48"/>
      <x:c r="L32" s="48" t="str">
        <x:v>S18</x:v>
      </x:c>
      <x:c r="M32" s="48" t="str">
        <x:v>Codex Final AI QA</x:v>
      </x:c>
      <x:c r="N32" s="58" t="n">
        <x:v>46301.8803125</x:v>
      </x:c>
      <x:c r="O32" s="55" t="str"/>
    </x:row>
    <x:row r="33" ht="85" customHeight="1">
      <x:c r="A33" s="42" t="str">
        <x:v>MOB-025</x:v>
      </x:c>
      <x:c r="B33" s="42" t="str">
        <x:v>LOCAL DEV</x:v>
      </x:c>
      <x:c r="C33" s="42" t="str">
        <x:v>P0 - Critical</x:v>
      </x:c>
      <x:c r="D33" s="42" t="str">
        <x:v>LOCAL DEV • 1366×768 • Laptop</x:v>
      </x:c>
      <x:c r="E33" s="48" t="str">
        <x:v>Pass</x:v>
      </x:c>
      <x:c r="F33" s="48" t="str">
        <x:v>PREVIOUS RESULT: Blocked. HUMAN / ENVIRONMENT FOLLOW-UP REQUIRED: Local DEV Reactor at 1366×768: page scrollWidth 1351px, viewport 1366px, iframe 367×490px; no page horizontal overflow. Full gameplay and controls at this size not all exercised. Remaining acceptance criteria were not established in this browser session; complete on the specified supported device/profile or with the missing deterministic setup, then update from direct evidence.
NEW RESULT: PARTIAL; RUNNABLE.
REASON: Actual requested viewport verified in owned DEV. Reactor remains one fresh six-cell run with its DEV inspector; no game/outer document overflow and normal powers retain nonzero bounds. Remaining Orbit, menu/pause/result, courtesy/reward/fullscreen assertions require their own journey.
SCOPE: LOCAL DEV actual viewport matrix with Reactor inspector
V3: Blocked [ENVIRONMENT_SETUP]. Proven already: Actual requested viewport verified in owned DEV. Reactor remains one fresh six-cell run with its DEV inspector; no game/outer document overflow and normal powers retain nonzero bounds. Remaining Orbit, menu/pause/result, courtesy/reward/fullscreen assertions require their own journey.
Remaining: At this exact requested DEV size: Orbit menu/active/pause/result, site Home/navigation/footer, Controls/help, courtesy/reward/ads, and native fullscreen pointer/layout. Reactor ACTIVE inspector geometry is already proven.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At this exact requested DEV size: Orbit menu/active/pause/result, site Home/navigation/footer, Controls/help, courtesy/reward/ads, and native fullscreen pointer/layout. Reactor ACTIVE inspector geometry is already proven.
Session: V2-DEV; scope: LOCAL DEV actual viewport matrix with Reactor inspector. See QA_FINALIZATION_V3_JOURNAL.json#MOB-025 and HANDOFF_AND_FIX_QUEUE.md.
FINAL AI 4B.2 (2026-10-07): Pass. Exact DEV viewport 1366×768 matched requested size/DPR1. Retained V2 menu/state evidence; current both-game active/paused and rewarded mock surface geometry, same-run/board before-after snapshots; no parent overflow or game-document scrolling. Additional Game DEV and host inspector/tooltips plus courtesy fit each size. Reactor actual Pause/Resume at all13sizes; Orbit Pause/Resume and hit targets verified. DEV home/nav/footer fit, may scroll below game. Emulated responsive criterion only; physical touch/fullscreen are separate rows, not asserted here.
Session/evidence: S18; QA_Evidence/viewport-matrix.json; QA_Evidence/viewport-matrix-additional.json; QA_Evidence/dev-home-viewport-matrix.json.</x:v>
      </x:c>
      <x:c r="G33" s="42" t="str">
        <x:v>Emulation result only unless actual hardware used. Complete public game tests separately.</x:v>
      </x:c>
      <x:c r="H33" s="42" t="str">
        <x:v>Set browser viewport 1366×768. Test home/nav/footer and BOTH games. Record actual iframe width×height, browser/device, zoom and evidence. Also open both DEV panels, tooltip, courtesy and rewarded states.</x:v>
      </x:c>
      <x:c r="I33" s="42" t="str">
        <x:v>No horizontal website overflow or game-document scrolling/clipping. Gameplay controls remain usable; website may scroll below game; scoped panels may scroll. No state reset on resizing.</x:v>
      </x:c>
      <x:c r="J33" s="48" t="str">
        <x:v>C:/Users/mlgjm/OneDrive/Desktop/GameWebsite/outputs/qa-recovery-v2/QA_Evidence/responsive-dev-reactor-panel-matrix.json; C:/Users/mlgjm/OneDrive/Desktop/GameWebsite/outputs/qa-recovery-v2/QA_Evidence/responsive-dev-reactor-panel-1366x768.png; historical: C:/Users/mlgjm/OneDrive/Desktop/GameWebsite/outputs/qa-20261006/QA_Evidence/notes/browser-observations.md; V3 journal: C:/Users/mlgjm/OneDrive/Desktop/GameWebsite/outputs/qa-finalization-v3/QA_FINALIZATION_V3_JOURNAL.json#MOB-025; FINAL AI: C:/Users/mlgjm/OneDrive/Desktop/GameWebsite/outputs/qa-final-ai/2026-10-07_000739/QA_Evidence/viewport-matrix.json; QA_Evidence/viewport-matrix-additional.json; QA_Evidence/dev-home-viewport-matrix.json</x:v>
      </x:c>
      <x:c r="K33" s="48"/>
      <x:c r="L33" s="48" t="str">
        <x:v>S18</x:v>
      </x:c>
      <x:c r="M33" s="48" t="str">
        <x:v>Codex Final AI QA</x:v>
      </x:c>
      <x:c r="N33" s="58" t="n">
        <x:v>46301.8803125</x:v>
      </x:c>
      <x:c r="O33" s="54" t="str"/>
    </x:row>
    <x:row r="34" ht="85" customHeight="1">
      <x:c r="A34" s="44" t="str">
        <x:v>MOB-026</x:v>
      </x:c>
      <x:c r="B34" s="44" t="str">
        <x:v>LOCAL DEV</x:v>
      </x:c>
      <x:c r="C34" s="44" t="str">
        <x:v>P1 - Required</x:v>
      </x:c>
      <x:c r="D34" s="44" t="str">
        <x:v>LOCAL DEV • 1920×1080 • Desktop</x:v>
      </x:c>
      <x:c r="E34" s="48" t="str">
        <x:v>Pass</x:v>
      </x:c>
      <x:c r="F34" s="48" t="str">
        <x:v>PREVIOUS RESULT: Blocked. HUMAN / ENVIRONMENT FOLLOW-UP REQUIRED: Local DEV Reactor at 1920×1080: page scrollWidth 1905px, viewport 1920px, iframe 517×689px; no page horizontal overflow. Full gameplay and controls at this size not all exercised. Remaining acceptance criteria were not established in this browser session; complete on the specified supported device/profile or with the missing deterministic setup, then update from direct evidence.
NEW RESULT: PARTIAL; RUNNABLE.
REASON: Actual requested viewport verified in owned DEV. Reactor remains one fresh six-cell run with its DEV inspector; no game/outer document overflow and normal powers retain nonzero bounds. Remaining Orbit, menu/pause/result, courtesy/reward/fullscreen assertions require their own journey.
SCOPE: LOCAL DEV actual viewport matrix with Reactor inspector
V3: Blocked [ENVIRONMENT_SETUP]. Proven already: Actual requested viewport verified in owned DEV. Reactor remains one fresh six-cell run with its DEV inspector; no game/outer document overflow and normal powers retain nonzero bounds. Remaining Orbit, menu/pause/result, courtesy/reward/fullscreen assertions require their own journey.
Remaining: At this exact requested DEV size: Orbit menu/active/pause/result, site Home/navigation/footer, Controls/help, courtesy/reward/ads, and native fullscreen pointer/layout. Reactor ACTIVE inspector geometry is already proven.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At this exact requested DEV size: Orbit menu/active/pause/result, site Home/navigation/footer, Controls/help, courtesy/reward/ads, and native fullscreen pointer/layout. Reactor ACTIVE inspector geometry is already proven.
Session: V2-DEV; scope: LOCAL DEV actual viewport matrix with Reactor inspector. See QA_FINALIZATION_V3_JOURNAL.json#MOB-026 and HANDOFF_AND_FIX_QUEUE.md.
FINAL AI 4B.2 (2026-10-07): Pass. Exact DEV viewport 1920×1080 matched requested size/DPR1. Retained V2 menu/state evidence; current both-game active/paused and rewarded mock surface geometry, same-run/board before-after snapshots; no parent overflow or game-document scrolling. Additional Game DEV and host inspector/tooltips plus courtesy fit each size. Reactor actual Pause/Resume at all13sizes; Orbit Pause/Resume and hit targets verified. DEV home/nav/footer fit, may scroll below game. Emulated responsive criterion only; physical touch/fullscreen are separate rows, not asserted here.
Session/evidence: S18; QA_Evidence/viewport-matrix.json; QA_Evidence/viewport-matrix-additional.json; QA_Evidence/dev-home-viewport-matrix.json.</x:v>
      </x:c>
      <x:c r="G34" s="44" t="str">
        <x:v>Emulation result only unless actual hardware used. Complete public game tests separately.</x:v>
      </x:c>
      <x:c r="H34" s="44" t="str">
        <x:v>Set browser viewport 1920×1080. Test home/nav/footer and BOTH games. Record actual iframe width×height, browser/device, zoom and evidence. Also open both DEV panels, tooltip, courtesy and rewarded states.</x:v>
      </x:c>
      <x:c r="I34" s="44" t="str">
        <x:v>No horizontal website overflow or game-document scrolling/clipping. Gameplay controls remain usable; website may scroll below game; scoped panels may scroll. No state reset on resizing.</x:v>
      </x:c>
      <x:c r="J34" s="48" t="str">
        <x:v>C:/Users/mlgjm/OneDrive/Desktop/GameWebsite/outputs/qa-recovery-v2/QA_Evidence/responsive-dev-reactor-panel-matrix.json; C:/Users/mlgjm/OneDrive/Desktop/GameWebsite/outputs/qa-recovery-v2/QA_Evidence/responsive-dev-reactor-panel-1920x1080.png; historical: C:/Users/mlgjm/OneDrive/Desktop/GameWebsite/outputs/qa-20261006/QA_Evidence/notes/browser-observations.md; V3 journal: C:/Users/mlgjm/OneDrive/Desktop/GameWebsite/outputs/qa-finalization-v3/QA_FINALIZATION_V3_JOURNAL.json#MOB-026; FINAL AI: C:/Users/mlgjm/OneDrive/Desktop/GameWebsite/outputs/qa-final-ai/2026-10-07_000739/QA_Evidence/viewport-matrix.json; QA_Evidence/viewport-matrix-additional.json; QA_Evidence/dev-home-viewport-matrix.json</x:v>
      </x:c>
      <x:c r="K34" s="48"/>
      <x:c r="L34" s="48" t="str">
        <x:v>S18</x:v>
      </x:c>
      <x:c r="M34" s="48" t="str">
        <x:v>Codex Final AI QA</x:v>
      </x:c>
      <x:c r="N34" s="58" t="n">
        <x:v>46301.8803125</x:v>
      </x:c>
      <x:c r="O34" s="55" t="str"/>
    </x:row>
    <x:row r="35" ht="76" customHeight="1">
      <x:c r="A35" s="42" t="str">
        <x:v>MOB-027</x:v>
      </x:c>
      <x:c r="B35" s="42" t="str">
        <x:v>LIVE</x:v>
      </x:c>
      <x:c r="C35" s="42" t="str">
        <x:v>P1 - Required</x:v>
      </x:c>
      <x:c r="D35" s="42" t="str">
        <x:v>Physical Android • portrait/landscape</x:v>
      </x:c>
      <x:c r="E35" s="48" t="str">
        <x:v>Fail</x:v>
      </x:c>
      <x:c r="F35" s="48" t="str">
        <x:v>PREVIOUS RESULT: Blocked. HUMAN TEST REQUIRED: physical Android device was unavailable; verify portrait/landscape rendering and input on-device.
NEW RESULT: NOT_EXECUTED; PHYSICAL_DEVICE_REQUIRED.
REASON: Physical Android Chrome portrait/landscape required.
SCOPE: Historical evidence only; V2 not executed
V3: Blocked [HARDWARE_REQUIRED]. Proven already: Physical Android Chrome portrait/landscape required.
Remaining: Required assertions not yet fully verified: Record actual tested support and failures; no assumed PASS from emulation/build checks. Missing hardware is Blocked until tested or a documented scope exception is approved. Procedure: On a real Android phone, test both games: tap/drag/reverse, audio unlock/mute, rotation and supported fullscreen.
Specific reason: Physical Android Chrome portrait/landscape required.
Attempted this run: no. Owner: Human tester. Next step: Human tester executes in the case environment: Required assertions not yet fully verified: Record actual tested support and failures; no assumed PASS from emulation/build checks. Missing hardware is Blocked until tested or a documented scope exception is approved. Procedure: On a real Android phone, test both games: tap/drag/reverse, audio unlock/mute, rotation and supported fullscreen.
Session: S01; scope: Historical evidence only; V2 not executed. See QA_FINALIZATION_V3_JOURNAL.json#MOB-027 and HANDOFF_AND_FIX_QUEUE.md.
FINAL AI 4B.2 (2026-10-07): BLOCKED — HUMAN TESTING REQUIRED [HUMAN_DEVICE].
Why AI did not finish: The required physical device, touch, OS setting or assistive technology is not available to this browser agent.
AI already proved: No complete independent evidence for the remaining assertions; historical observations remain in the workbook.
Remaining: Record actual tested support and failures; no assumed PASS from emulation/build checks. Missing hardware is Blocked until tested or a documented scope exception is approved. Procedure: On a real Android phone, test both games: tap/drag/reverse, audio unlock/mute, rotation and supported fullscreen.
Human action (HQA-01): 1. Use LIVE; Physical Android phone, Chrome; record model, Android and Chrome versions. 2. Use Sessions row for exact hardware/browser. Physical local access is optional unless available. 3. Execute only the remaining assertion: Record actual tested support and failures; no assumed PASS from emulation/build checks. Missing hardware is Blocked until tested or a documented scope exception is approved. Procedure: On a real Android phone, test both games: tap/drag/reverse, audio unlock/mute, rotation and supported fullscreen.
Expected: Record actual tested support and failures; no assumed PASS from emulation/build checks. Missing hardware is Blocked until tested or a documented scope exception is approved.
Capture: Pass/Fail per ID, screenshot or timestamped video/state snapshot, device/OS/browser versions, viewport/zoom/DPR and a note; compare prior evidence instead of repeating proven subassertions.
Session/evidence: S17; Historical evidence retained; no fresh case execution claimed. Full grouped instructions: HUMAN_QA_FINAL.md#hqa-01. Historical Bug IDs are retained links, not current confirmed dependencies unless explicitly stated.
FINAL HUMAN QA (2026-10-07): FAIL — physical Android testing found the game window can be cut off/not fit the available screen, and Reactor drag does not work by touch. Bugs: HQA-002, HQA-003.</x:v>
      </x:c>
      <x:c r="G35" s="42" t="str">
        <x:v>Use Sessions row for exact hardware/browser. Physical local access is optional unless available.</x:v>
      </x:c>
      <x:c r="H35" s="42" t="str">
        <x:v>On a real Android phone, test both games: tap/drag/reverse, audio unlock/mute, rotation and supported fullscreen.</x:v>
      </x:c>
      <x:c r="I35" s="42" t="str">
        <x:v>Record actual tested support and failures; no assumed PASS from emulation/build checks. Missing hardware is Blocked until tested or a documented scope exception is approved.</x:v>
      </x:c>
      <x:c r="J35" s="48" t="str">
        <x:v>C:/Users/mlgjm/OneDrive/Desktop/GameWebsite/outputs/qa-20261006/QA_Evidence/notes/browser-observations.md; V3 journal: C:/Users/mlgjm/OneDrive/Desktop/GameWebsite/outputs/qa-finalization-v3/QA_FINALIZATION_V3_JOURNAL.json#MOB-027
Human QA chat observations/screenshots, 2026-10-07; prior AI evidence retained.</x:v>
      </x:c>
      <x:c r="K35" s="48" t="str">
        <x:v>HQA-002; HQA-003</x:v>
      </x:c>
      <x:c r="L35" s="48" t="str">
        <x:v>S21</x:v>
      </x:c>
      <x:c r="M35" s="48" t="str">
        <x:v>Hristo</x:v>
      </x:c>
      <x:c r="N35" s="58" t="n">
        <x:v>46302</x:v>
      </x:c>
      <x:c r="O35" s="54" t="str"/>
    </x:row>
    <x:row r="36" ht="76" customHeight="1">
      <x:c r="A36" s="44" t="str">
        <x:v>MOB-028</x:v>
      </x:c>
      <x:c r="B36" s="44" t="str">
        <x:v>LIVE</x:v>
      </x:c>
      <x:c r="C36" s="44" t="str">
        <x:v>P1 - Required</x:v>
      </x:c>
      <x:c r="D36" s="44" t="str">
        <x:v>Physical iPhone/iPad • portrait/landscape</x:v>
      </x:c>
      <x:c r="E36" s="48" t="str">
        <x:v>N/A</x:v>
      </x:c>
      <x:c r="F36" s="48" t="str">
        <x:v>PREVIOUS RESULT: Blocked. HUMAN TEST REQUIRED: physical iPhone/iPad was unavailable; verify portrait/landscape rendering and input on-device.
NEW RESULT: NOT_EXECUTED; PHYSICAL_DEVICE_REQUIRED.
REASON: Physical iPhone/iPad Safari rotation/safe-area required.
SCOPE: Historical evidence only; V2 not executed
V3: Blocked [HARDWARE_REQUIRED]. Proven already: Physical iPhone/iPad Safari rotation/safe-area required.
Remaining: Required assertions not yet fully verified: Record actual tested support and failures; no assumed PASS from emulation/build checks. Missing hardware is Blocked until tested or a documented scope exception is approved. Procedure: On a real iPhone/iPad browser, test both games: taps/drags, sound settings, rotation and available fullscreen/fallback.
Specific reason: Physical iPhone/iPad Safari rotation/safe-area required.
Attempted this run: no. Owner: Human tester. Next step: Human tester executes in the case environment: Required assertions not yet fully verified: Record actual tested support and failures; no assumed PASS from emulation/build checks. Missing hardware is Blocked until tested or a documented scope exception is approved. Procedure: On a real iPhone/iPad browser, test both games: taps/drags, sound settings, rotation and available fullscreen/fallback.
Session: S01; scope: Historical evidence only; V2 not executed. See QA_FINALIZATION_V3_JOURNAL.json#MOB-028 and HANDOFF_AND_FIX_QUEUE.md.
FINAL AI 4B.2 (2026-10-07): BLOCKED — HUMAN TESTING REQUIRED [HUMAN_DEVICE].
Why AI did not finish: The required physical device, touch, OS setting or assistive technology is not available to this browser agent.
AI already proved: No complete independent evidence for the remaining assertions; historical observations remain in the workbook.
Remaining: Record actual tested support and failures; no assumed PASS from emulation/build checks. Missing hardware is Blocked until tested or a documented scope exception is approved. Procedure: On a real iPhone/iPad browser, test both games: taps/drags, sound settings, rotation and available fullscreen/fallback.
Human action (HQA-02): 1. Use LIVE; Physical iPhone/iPad, Safari; record model and iOS/iPadOS version. 2. Use Sessions row for exact hardware/browser. Physical local access is optional unless available. 3. Execute only the remaining assertion: Record actual tested support and failures; no assumed PASS from emulation/build checks. Missing hardware is Blocked until tested or a documented scope exception is approved. Procedure: On a real iPhone/iPad browser, test both games: taps/drags, sound settings, rotation and available fullscreen/fallback.
Expected: Record actual tested support and failures; no assumed PASS from emulation/build checks. Missing hardware is Blocked until tested or a documented scope exception is approved.
Capture: Pass/Fail per ID, screenshot or timestamped video/state snapshot, device/OS/browser versions, viewport/zoom/DPR and a note; compare prior evidence instead of repeating proven subassertions.
Session/evidence: S17; Historical evidence retained; no fresh case execution claimed. Full grouped instructions: HUMAN_QA_FINAL.md#hqa-02. Historical Bug IDs are retained links, not current confirmed dependencies unless explicitly stated.
FINAL HUMAN QA (2026-10-07): N/A — physical iPhone/iPad was not available. Hristo explicitly approved this as an N/A scope exception for this Human QA pass; no iOS Pass is claimed.</x:v>
      </x:c>
      <x:c r="G36" s="44" t="str">
        <x:v>Use Sessions row for exact hardware/browser. Physical local access is optional unless available.</x:v>
      </x:c>
      <x:c r="H36" s="44" t="str">
        <x:v>On a real iPhone/iPad browser, test both games: taps/drags, sound settings, rotation and available fullscreen/fallback.</x:v>
      </x:c>
      <x:c r="I36" s="44" t="str">
        <x:v>Record actual tested support and failures; no assumed PASS from emulation/build checks. Missing hardware is Blocked until tested or a documented scope exception is approved.</x:v>
      </x:c>
      <x:c r="J36" s="48" t="str">
        <x:v>C:/Users/mlgjm/OneDrive/Desktop/GameWebsite/outputs/qa-20261006/QA_Evidence/notes/browser-observations.md; V3 journal: C:/Users/mlgjm/OneDrive/Desktop/GameWebsite/outputs/qa-finalization-v3/QA_FINALIZATION_V3_JOURNAL.json#MOB-028
Owner-approved Human QA N/A decision, 2026-10-07; prior AI evidence retained.</x:v>
      </x:c>
      <x:c r="K36" s="48"/>
      <x:c r="L36" s="48"/>
      <x:c r="M36" s="48" t="str">
        <x:v>Hristo</x:v>
      </x:c>
      <x:c r="N36" s="58" t="n">
        <x:v>46302</x:v>
      </x:c>
      <x:c r="O36" s="55" t="str"/>
    </x:row>
    <x:row r="37" ht="76" customHeight="1">
      <x:c r="A37" s="42" t="str">
        <x:v>MOB-029</x:v>
      </x:c>
      <x:c r="B37" s="42" t="str">
        <x:v>LOCAL DEV</x:v>
      </x:c>
      <x:c r="C37" s="42" t="str">
        <x:v>P2 - Polish</x:v>
      </x:c>
      <x:c r="D37" s="42" t="str">
        <x:v>Physical mobile DEV access</x:v>
      </x:c>
      <x:c r="E37" s="48" t="str">
        <x:v>Pass</x:v>
      </x:c>
      <x:c r="F37" s="48" t="str">
        <x:v>PREVIOUS RESULT: Blocked. HUMAN TEST REQUIRED: access the local DEV site from a physical phone and verify its panel/game behavior.
NEW RESULT: NOT_EXECUTED; PHYSICAL_DEVICE_REQUIRED.
REASON: Physical mobile DEV access requires hardware and approved LAN access.
SCOPE: Historical evidence only; V2 not executed
V3: Blocked [HARDWARE_REQUIRED]. Proven already: Physical mobile DEV access requires hardware and approved LAN access.
Remaining: Required assertions not yet fully verified: Record actual tested support and failures; no assumed PASS from emulation/build checks. Missing hardware is Blocked until tested or a documented scope exception is approved. Procedure: With an explicitly approved safe local test setup, repeat actual mock/reward/help interactions on a physical phone. Do not expose Vite publicly.
Specific reason: Physical mobile DEV access requires hardware and approved LAN access.
Attempted this run: no. Owner: Human tester. Next step: Human tester executes in the case environment: Required assertions not yet fully verified: Record actual tested support and failures; no assumed PASS from emulation/build checks. Missing hardware is Blocked until tested or a documented scope exception is approved. Procedure: With an explicitly approved safe local test setup, repeat actual mock/reward/help interactions on a physical phone. Do not expose Vite publicly.
Session: S01; scope: Historical evidence only; V2 not executed. See QA_FINALIZATION_V3_JOURNAL.json#MOB-029 and HANDOFF_AND_FIX_QUEUE.md.
FINAL AI 4B.2 (2026-10-07): BLOCKED — HUMAN TESTING REQUIRED [HUMAN_DEVICE].
Why AI did not finish: The required physical device, touch, OS setting or assistive technology is not available to this browser agent.
AI already proved: No complete independent evidence for the remaining assertions; historical observations remain in the workbook.
Remaining: Record actual tested support and failures; no assumed PASS from emulation/build checks. Missing hardware is Blocked until tested or a documented scope exception is approved. Procedure: With an explicitly approved safe local test setup, repeat actual mock/reward/help interactions on a physical phone. Do not expose Vite publicly.
Human action (HQA-03): 1. Use LOCAL DEV; Physical Android plus iPhone/iPad on the same trusted LAN as the DEV host. 2. Use Sessions row for exact hardware/browser. Physical local access is optional unless available. 3. Execute only the remaining assertion: Record actual tested support and failures; no assumed PASS from emulation/build checks. Missing hardware is Blocked until tested or a documented scope exception is approved. Procedure: With an explicitly approved safe local test setup, repeat actual mock/reward/help interactions on a physical phone. Do not expose Vite publicly.
Expected: Record actual tested support and failures; no assumed PASS from emulation/build checks. Missing hardware is Blocked until tested or a documented scope exception is approved.
Capture: Pass/Fail per ID, screenshot or timestamped video/state snapshot, device/OS/browser versions, viewport/zoom/DPR and a note; compare prior evidence instead of repeating proven subassertions.
Session/evidence: S18; Historical evidence retained; no fresh case execution claimed. Full grouped instructions: HUMAN_QA_FINAL.md#hqa-03.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37" s="42" t="str">
        <x:v>Use Sessions row for exact hardware/browser. Physical local access is optional unless available.</x:v>
      </x:c>
      <x:c r="H37" s="42" t="str">
        <x:v>With an explicitly approved safe local test setup, repeat actual mock/reward/help interactions on a physical phone. Do not expose Vite publicly.</x:v>
      </x:c>
      <x:c r="I37" s="42" t="str">
        <x:v>Record actual tested support and failures; no assumed PASS from emulation/build checks. Missing hardware is Blocked until tested or a documented scope exception is approved.</x:v>
      </x:c>
      <x:c r="J37" s="48" t="str">
        <x:v>C:/Users/mlgjm/OneDrive/Desktop/GameWebsite/outputs/qa-20261006/QA_Evidence/notes/browser-observations.md; V3 journal: C:/Users/mlgjm/OneDrive/Desktop/GameWebsite/outputs/qa-finalization-v3/QA_FINALIZATION_V3_JOURNAL.json#MOB-029
Human QA completion statement, 2026-10-07; prior AI evidence retained.</x:v>
      </x:c>
      <x:c r="K37" s="48"/>
      <x:c r="L37" s="48" t="str">
        <x:v>S21</x:v>
      </x:c>
      <x:c r="M37" s="48" t="str">
        <x:v>Hristo</x:v>
      </x:c>
      <x:c r="N37" s="58" t="n">
        <x:v>46302</x:v>
      </x:c>
      <x:c r="O37" s="54" t="str"/>
    </x:row>
    <x:row r="38" ht="76" customHeight="1">
      <x:c r="A38" s="44" t="str">
        <x:v>MOB-030</x:v>
      </x:c>
      <x:c r="B38" s="44" t="str">
        <x:v>LIVE</x:v>
      </x:c>
      <x:c r="C38" s="44" t="str">
        <x:v>P1 - Required</x:v>
      </x:c>
      <x:c r="D38" s="44" t="str">
        <x:v>Firefox / second browser</x:v>
      </x:c>
      <x:c r="E38" s="48" t="str">
        <x:v>Pass</x:v>
      </x:c>
      <x:c r="F38" s="48" t="str">
        <x:v>PREVIOUS RESULT: Blocked. HUMAN TEST REQUIRED: verify behavior in Firefox or another browser engine; only Chromium was available.
NEW RESULT: NOT_EXECUTED; ENVIRONMENT_BLOCKED.
REASON: Only Codex in-app Chromium and MCP Apps are enabled; no second browser engine exposed to computer-use tools.
SCOPE: Available capability inventory and UI fixture audit
V3: Blocked [TOOL_LIMITATION]. Proven already: Only Codex in-app Chromium and MCP Apps are enabled; no second browser engine exposed to computer-use tools.
Remaining: Required assertions not yet fully verified: Record actual tested support and failures; no assumed PASS from emulation/build checks. Missing hardware is Blocked until tested or a documented scope exception is approved. Procedure: Use another installed browser engine where available; repeat navigation, both games, storage and fullscreen.
Specific reason: Only Codex in-app Chromium and MCP Apps are enabled; no second browser engine exposed to computer-use tools.
Attempted this run: no. Owner: Engineer. Next step: Establish the specific required fixture/tool/runtime, then Human tester executes: Required assertions not yet fully verified: Record actual tested support and failures; no assumed PASS from emulation/build checks. Missing hardware is Blocked until tested or a documented scope exception is approved. Procedure: Use another installed browser engine where available; repeat navigation, both games, storage and fullscreen.
Session: S01; scope: Available capability inventory and UI fixture audit. See QA_FINALIZATION_V3_JOURNAL.json#MOB-030 and HANDOFF_AND_FIX_QUEUE.md.
FINAL AI 4B.2 (2026-10-07): BLOCKED — HUMAN TESTING REQUIRED [HUMAN_BROWSER].
Why AI did not finish: The supported browser API cannot certify native fullscreen/pointer mapping, browser zoom or the required second browser.
AI already proved: No complete independent evidence for the remaining assertions; historical observations remain in the workbook.
Remaining: Record actual tested support and failures; no assumed PASS from emulation/build checks. Missing hardware is Blocked until tested or a documented scope exception is approved. Procedure: Use another installed browser engine where available; repeat navigation, both games, storage and fullscreen.
Human action (HQA-08): 1. Use LIVE; Native current Firefox in a disposable profile; record exact version. 2. Use Sessions row for exact hardware/browser. Physical local access is optional unless available. 3. Execute only the remaining assertion: Record actual tested support and failures; no assumed PASS from emulation/build checks. Missing hardware is Blocked until tested or a documented scope exception is approved. Procedure: Use another installed browser engine where available; repeat navigation, both games, storage and fullscreen.
Expected: Record actual tested support and failures; no assumed PASS from emulation/build checks. Missing hardware is Blocked until tested or a documented scope exception is approved.
Capture: Pass/Fail per ID, screenshot or timestamped video/state snapshot, device/OS/browser versions, viewport/zoom/DPR and a note; compare prior evidence instead of repeating proven subassertions.
Session/evidence: S17; Historical evidence retained; no fresh case execution claimed. Full grouped instructions: HUMAN_QA_FINAL.md#hqa-08.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38" s="44" t="str">
        <x:v>Use Sessions row for exact hardware/browser. Physical local access is optional unless available.</x:v>
      </x:c>
      <x:c r="H38" s="44" t="str">
        <x:v>Use another installed browser engine where available; repeat navigation, both games, storage and fullscreen.</x:v>
      </x:c>
      <x:c r="I38" s="44" t="str">
        <x:v>Record actual tested support and failures; no assumed PASS from emulation/build checks. Missing hardware is Blocked until tested or a documented scope exception is approved.</x:v>
      </x:c>
      <x:c r="J38" s="48" t="str">
        <x:v>C:/Users/mlgjm/OneDrive/Desktop/GameWebsite/outputs/qa-recovery-v2/QA_Evidence/capability-blockers.json; historical: C:/Users/mlgjm/OneDrive/Desktop/GameWebsite/outputs/qa-20261006/QA_Evidence/notes/browser-observations.md; V3 journal: C:/Users/mlgjm/OneDrive/Desktop/GameWebsite/outputs/qa-finalization-v3/QA_FINALIZATION_V3_JOURNAL.json#MOB-030
Human QA completion statement, 2026-10-07; prior AI evidence retained.</x:v>
      </x:c>
      <x:c r="K38" s="48" t="str">
        <x:v>ENV-BROWSER-ACCESS</x:v>
      </x:c>
      <x:c r="L38" s="48" t="str">
        <x:v>S20</x:v>
      </x:c>
      <x:c r="M38" s="48" t="str">
        <x:v>Hristo</x:v>
      </x:c>
      <x:c r="N38" s="58" t="n">
        <x:v>46302</x:v>
      </x:c>
      <x:c r="O38" s="55" t="str"/>
    </x:row>
    <x:row r="39" ht="76" customHeight="1">
      <x:c r="A39" s="42" t="str">
        <x:v>MOB-031</x:v>
      </x:c>
      <x:c r="B39" s="42" t="str">
        <x:v>LIVE</x:v>
      </x:c>
      <x:c r="C39" s="42" t="str">
        <x:v>P1 - Required</x:v>
      </x:c>
      <x:c r="D39" s="42" t="str">
        <x:v>Keyboard and screen reader</x:v>
      </x:c>
      <x:c r="E39" s="48" t="str">
        <x:v>Pass</x:v>
      </x:c>
      <x:c r="F39" s="48" t="str">
        <x:v>PREVIOUS RESULT: Blocked. HUMAN TEST REQUIRED: run keyboard and screen-reader checks with assistive technology.
NEW RESULT: NOT_EXECUTED; PHYSICAL_DEVICE_REQUIRED.
REASON: Real screen reader unavailable in current browser tools.
SCOPE: Historical evidence only; V2 not executed
V3: Blocked [TOOL_LIMITATION]. Proven already: Real screen reader unavailable in current browser tools.
Remaining: Required assertions not yet fully verified: Record actual tested support and failures; no assumed PASS from emulation/build checks. Missing hardware is Blocked until tested or a documented scope exception is approved. Procedure: Review navigation/action bar/dialogs with keyboard and an available screen reader; record actual tool/browser.
Specific reason: Real screen reader unavailable in current browser tools.
Attempted this run: no. Owner: Engineer. Next step: Establish the specific required fixture/tool/runtime, then Human tester executes: Required assertions not yet fully verified: Record actual tested support and failures; no assumed PASS from emulation/build checks. Missing hardware is Blocked until tested or a documented scope exception is approved. Procedure: Review navigation/action bar/dialogs with keyboard and an available screen reader; record actual tool/browser.
Session: S01; scope: Historical evidence only; V2 not executed. See QA_FINALIZATION_V3_JOURNAL.json#MOB-031 and HANDOFF_AND_FIX_QUEUE.md.
FINAL AI 4B.2 (2026-10-07): BLOCKED — HUMAN TESTING REQUIRED [HUMAN_DEVICE].
Why AI did not finish: The required physical device, touch, OS setting or assistive technology is not available to this browser agent.
AI already proved: No complete independent evidence for the remaining assertions; historical observations remain in the workbook.
Remaining: Record actual tested support and failures; no assumed PASS from emulation/build checks. Missing hardware is Blocked until tested or a documented scope exception is approved. Procedure: Review navigation/action bar/dialogs with keyboard and an available screen reader; record actual tool/browser.
Human action (HQA-04): 1. Use LIVE; Windows Chrome or Edge plus NVDA; macOS Safari plus VoiceOver; OS reduced-motion setting. 2. Use Sessions row for exact hardware/browser. Physical local access is optional unless available. 3. Execute only the remaining assertion: Record actual tested support and failures; no assumed PASS from emulation/build checks. Missing hardware is Blocked until tested or a documented scope exception is approved. Procedure: Review navigation/action bar/dialogs with keyboard and an available screen reader; record actual tool/browser.
Expected: Record actual tested support and failures; no assumed PASS from emulation/build checks. Missing hardware is Blocked until tested or a documented scope exception is approved.
Capture: Pass/Fail per ID, screenshot or timestamped video/state snapshot, device/OS/browser versions, viewport/zoom/DPR and a note; compare prior evidence instead of repeating proven subassertions.
Session/evidence: S17; Historical evidence retained; no fresh case execution claimed. Full grouped instructions: HUMAN_QA_FINAL.md#hqa-04.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39" s="42" t="str">
        <x:v>Use Sessions row for exact hardware/browser. Physical local access is optional unless available.</x:v>
      </x:c>
      <x:c r="H39" s="42" t="str">
        <x:v>Review navigation/action bar/dialogs with keyboard and an available screen reader; record actual tool/browser.</x:v>
      </x:c>
      <x:c r="I39" s="42" t="str">
        <x:v>Record actual tested support and failures; no assumed PASS from emulation/build checks. Missing hardware is Blocked until tested or a documented scope exception is approved.</x:v>
      </x:c>
      <x:c r="J39" s="48" t="str">
        <x:v>C:/Users/mlgjm/OneDrive/Desktop/GameWebsite/outputs/qa-20261006/QA_Evidence/notes/browser-observations.md; V3 journal: C:/Users/mlgjm/OneDrive/Desktop/GameWebsite/outputs/qa-finalization-v3/QA_FINALIZATION_V3_JOURNAL.json#MOB-031
Human QA completion statement, 2026-10-07; prior AI evidence retained.</x:v>
      </x:c>
      <x:c r="K39" s="48"/>
      <x:c r="L39" s="48" t="str">
        <x:v>S20</x:v>
      </x:c>
      <x:c r="M39" s="48" t="str">
        <x:v>Hristo</x:v>
      </x:c>
      <x:c r="N39" s="58" t="n">
        <x:v>46302</x:v>
      </x:c>
      <x:c r="O39" s="54" t="str"/>
    </x:row>
    <x:row r="40" ht="76" customHeight="1">
      <x:c r="A40" s="44" t="str">
        <x:v>MOB-032</x:v>
      </x:c>
      <x:c r="B40" s="44" t="str">
        <x:v>LOCAL DEV</x:v>
      </x:c>
      <x:c r="C40" s="44" t="str">
        <x:v>P1 - Required</x:v>
      </x:c>
      <x:c r="D40" s="44" t="str">
        <x:v>OS reduced motion</x:v>
      </x:c>
      <x:c r="E40" s="48" t="str">
        <x:v>Pass</x:v>
      </x:c>
      <x:c r="F40" s="48" t="str">
        <x:v>PREVIOUS RESULT: Blocked. HUMAN TEST REQUIRED: enable OS-level reduced motion and verify behavior.
NEW RESULT: NOT_EXECUTED; ENVIRONMENT_BLOCKED.
REASON: Actual OS reduced-motion control unavailable because native Windows apps are disabled; browser media-preference emulation not advertised.
SCOPE: Available capability inventory and UI fixture audit
V3: Blocked [TOOL_LIMITATION]. Proven already: Actual OS reduced-motion control unavailable because native Windows apps are disabled; browser media-preference emulation not advertised.
Remaining: Required assertions not yet fully verified: Record actual tested support and failures; no assumed PASS from emulation/build checks. Missing hardware is Blocked until tested or a documented scope exception is approved. Procedure: Enable actual OS/browser reduced motion; test thumbnail, courtesy animation and tooltips; complete both rewarded flows.
Specific reason: Actual OS reduced-motion control unavailable because native Windows apps are disabled; browser media-preference emulation not advertised.
Attempted this run: no. Owner: Engineer. Next step: Establish the specific required fixture/tool/runtime, then Human tester executes: Required assertions not yet fully verified: Record actual tested support and failures; no assumed PASS from emulation/build checks. Missing hardware is Blocked until tested or a documented scope exception is approved. Procedure: Enable actual OS/browser reduced motion; test thumbnail, courtesy animation and tooltips; complete both rewarded flows.
Session: S01; scope: Available capability inventory and UI fixture audit. See QA_FINALIZATION_V3_JOURNAL.json#MOB-032 and HANDOFF_AND_FIX_QUEUE.md.
FINAL AI 4B.2 (2026-10-07): BLOCKED — HUMAN TESTING REQUIRED [HUMAN_DEVICE].
Why AI did not finish: The required physical device, touch, OS setting or assistive technology is not available to this browser agent.
AI already proved: No complete independent evidence for the remaining assertions; historical observations remain in the workbook.
Remaining: Record actual tested support and failures; no assumed PASS from emulation/build checks. Missing hardware is Blocked until tested or a documented scope exception is approved. Procedure: Enable actual OS/browser reduced motion; test thumbnail, courtesy animation and tooltips; complete both rewarded flows.
Human action (HQA-04): 1. Use LOCAL DEV; Windows Chrome or Edge plus NVDA; macOS Safari plus VoiceOver; OS reduced-motion setting. 2. Use Sessions row for exact hardware/browser. Physical local access is optional unless available. 3. Execute only the remaining assertion: Record actual tested support and failures; no assumed PASS from emulation/build checks. Missing hardware is Blocked until tested or a documented scope exception is approved. Procedure: Enable actual OS/browser reduced motion; test thumbnail, courtesy animation and tooltips; complete both rewarded flows.
Expected: Record actual tested support and failures; no assumed PASS from emulation/build checks. Missing hardware is Blocked until tested or a documented scope exception is approved.
Capture: Pass/Fail per ID, screenshot or timestamped video/state snapshot, device/OS/browser versions, viewport/zoom/DPR and a note; compare prior evidence instead of repeating proven subassertions.
Session/evidence: S18; Historical evidence retained; no fresh case execution claimed. Full grouped instructions: HUMAN_QA_FINAL.md#hqa-04.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40" s="44" t="str">
        <x:v>Use Sessions row for exact hardware/browser. Physical local access is optional unless available.</x:v>
      </x:c>
      <x:c r="H40" s="44" t="str">
        <x:v>Enable actual OS/browser reduced motion; test thumbnail, courtesy animation and tooltips; complete both rewarded flows.</x:v>
      </x:c>
      <x:c r="I40" s="44" t="str">
        <x:v>Record actual tested support and failures; no assumed PASS from emulation/build checks. Missing hardware is Blocked until tested or a documented scope exception is approved.</x:v>
      </x:c>
      <x:c r="J40" s="48" t="str">
        <x:v>C:/Users/mlgjm/OneDrive/Desktop/GameWebsite/outputs/qa-recovery-v2/QA_Evidence/capability-blockers.json; historical: C:/Users/mlgjm/OneDrive/Desktop/GameWebsite/outputs/qa-20261006/QA_Evidence/notes/browser-observations.md; V3 journal: C:/Users/mlgjm/OneDrive/Desktop/GameWebsite/outputs/qa-finalization-v3/QA_FINALIZATION_V3_JOURNAL.json#MOB-032
Human QA completion statement, 2026-10-07; prior AI evidence retained.</x:v>
      </x:c>
      <x:c r="K40" s="48" t="str">
        <x:v>ENV-BROWSER-ACCESS</x:v>
      </x:c>
      <x:c r="L40" s="48" t="str">
        <x:v>S20</x:v>
      </x:c>
      <x:c r="M40" s="48" t="str">
        <x:v>Hristo</x:v>
      </x:c>
      <x:c r="N40" s="58" t="n">
        <x:v>46302</x:v>
      </x:c>
      <x:c r="O40" s="55" t="str"/>
    </x:row>
    <x:row r="41" ht="76" customHeight="1">
      <x:c r="A41" s="42" t="str">
        <x:v>MOB-033</x:v>
      </x:c>
      <x:c r="B41" s="42" t="str">
        <x:v>LOCAL DEV</x:v>
      </x:c>
      <x:c r="C41" s="42" t="str">
        <x:v>P1 - Required</x:v>
      </x:c>
      <x:c r="D41" s="42" t="str">
        <x:v>Live resize and orientation chain</x:v>
      </x:c>
      <x:c r="E41" s="48" t="str">
        <x:v>Fail</x:v>
      </x:c>
      <x:c r="F41" s="48" t="str">
        <x:v>PREVIOUS RESULT: Blocked. HUMAN TEST REQUIRED: verify the full live viewport resize/orientation sequence on a suitable device/browser.
NEW RESULT: NOT_EXECUTED; RUNNABLE.
REASON: Required desktop→portrait→landscape chain depends on ineffective viewport API; existing and fresh tab remained1280×720. CORRECTION: viewport override succeeded on selected LIVE Reactor tab3; capability applies there rather than other bound tabs. Responsive assertion is now runnable and awaiting targeted execution.
SCOPE: Available capability inventory and UI fixture audit
V3: Blocked [ENVIRONMENT_SETUP]. Proven already: Required desktop→portrait→landscape chain depends on ineffective viewport API; existing and fresh tab remained1280×720. CORRECTION: viewport override succeeded on selected LIVE Reactor tab3; capability applies there rather than other bound tabs. Responsive assertion is now runnable and awaiting targeted execution.
Remaining: Both-game active run/ad desktop &gt; narrow &gt; portrait &gt; landscape &gt; fullscreen &gt; normal chain. Existing V2 phase/size matrices prove resize geometry but do not complete ad/fullscreen chain.
Specific reason: Prior V2 DEV process was absent. New strict-port5195 server reported ready, but browser navigation refused then timed out after one bounded recovery. Establish verified reachable DEV runtime before remaining assertions; no product failure inferred.
Attempted this run: no. Owner: Engineer. Next step: Establish the specific required fixture/tool/runtime, then Human tester executes: Both-game active run/ad desktop &gt; narrow &gt; portrait &gt; landscape &gt; fullscreen &gt; normal chain. Existing V2 phase/size matrices prove resize geometry but do not complete ad/fullscreen chain.
Session: S01; scope: Available capability inventory and UI fixture audit. See QA_FINALIZATION_V3_JOURNAL.json#MOB-033 and HANDOFF_AND_FIX_QUEUE.md.
FINAL AI 4B.2 (2026-10-07): BLOCKED — HUMAN TESTING REQUIRED [HUMAN_DEVICE].
Why AI did not finish: The required physical device, touch, OS setting or assistive technology is not available to this browser agent.
AI already proved: No complete independent evidence for the remaining assertions; historical observations remain in the workbook.
Remaining: Both-game active run/ad desktop &gt; narrow &gt; portrait &gt; landscape &gt; fullscreen &gt; normal chain. Existing V2 phase/size matrices prove resize geometry but do not complete ad/fullscreen chain.
Human action (HQA-01): 1. Use LOCAL DEV; Physical Android phone, Chrome; record model, Android and Chrome versions. 2. Use Sessions row for exact hardware/browser. Physical local access is optional unless available. 3. Execute only the remaining assertion: Both-game active run/ad desktop &gt; narrow &gt; portrait &gt; landscape &gt; fullscreen &gt; normal chain. Existing V2 phase/size matrices prove resize geometry but do not complete ad/fullscreen chain.
Expected: Record actual tested support and failures; no assumed PASS from emulation/build checks. Missing hardware is Blocked until tested or a documented scope exception is approved.
Capture: Pass/Fail per ID, screenshot or timestamped video/state snapshot, device/OS/browser versions, viewport/zoom/DPR and a note; compare prior evidence instead of repeating proven subassertions.
Session/evidence: S18; Historical evidence retained; no fresh case execution claimed. Full grouped instructions: HUMAN_QA_FINAL.md#hqa-01. Historical Bug IDs are retained links, not current confirmed dependencies unless explicitly stated.
FINAL HUMAN QA (2026-10-07): FAIL — the live resize/orientation chain exposed mobile/short-height clipping: the game frame does not always continue resizing to remain fully usable. Bug: HQA-003.</x:v>
      </x:c>
      <x:c r="G41" s="42" t="str">
        <x:v>Use Sessions row for exact hardware/browser. Physical local access is optional unless available.</x:v>
      </x:c>
      <x:c r="H41" s="42" t="str">
        <x:v>In active run/ad go desktop→narrow→portrait→landscape→fullscreen→normal; repeat for both games.</x:v>
      </x:c>
      <x:c r="I41" s="42" t="str">
        <x:v>Record actual tested support and failures; no assumed PASS from emulation/build checks. Missing hardware is Blocked until tested or a documented scope exception is approved.</x:v>
      </x:c>
      <x:c r="J41" s="48" t="str">
        <x:v>C:/Users/mlgjm/OneDrive/Desktop/GameWebsite/outputs/qa-recovery-v2/QA_Evidence/capability-blockers.json; C:/Users/mlgjm/OneDrive/Desktop/GameWebsite/outputs/qa-recovery-v2/QA_Evidence/viewport-capability-recovery.json; historical: C:/Users/mlgjm/OneDrive/Desktop/GameWebsite/outputs/qa-20261006/QA_Evidence/notes/browser-observations.md; V3 journal: C:/Users/mlgjm/OneDrive/Desktop/GameWebsite/outputs/qa-finalization-v3/QA_FINALIZATION_V3_JOURNAL.json#MOB-033
Human QA chat observations/screenshots, 2026-10-07; prior AI evidence retained.</x:v>
      </x:c>
      <x:c r="K41" s="48" t="str">
        <x:v>HQA-003</x:v>
      </x:c>
      <x:c r="L41" s="48" t="str">
        <x:v>S21</x:v>
      </x:c>
      <x:c r="M41" s="48" t="str">
        <x:v>Hristo</x:v>
      </x:c>
      <x:c r="N41" s="58" t="n">
        <x:v>46302</x:v>
      </x:c>
      <x:c r="O41" s="54" t="str"/>
    </x:row>
    <x:row r="42" ht="76" customHeight="1">
      <x:c r="A42" s="44" t="str">
        <x:v>MOB-034</x:v>
      </x:c>
      <x:c r="B42" s="44" t="str">
        <x:v>LIVE</x:v>
      </x:c>
      <x:c r="C42" s="44" t="str">
        <x:v>P1 - Required</x:v>
      </x:c>
      <x:c r="D42" s="44" t="str">
        <x:v>200% browser zoom / touch targets</x:v>
      </x:c>
      <x:c r="E42" s="48" t="str">
        <x:v>Pass</x:v>
      </x:c>
      <x:c r="F42" s="48" t="str">
        <x:v>PREVIOUS RESULT: Blocked. HUMAN TEST REQUIRED: verify layout and touch targets at 200% browser zoom.
NEW RESULT: NOT_EXECUTED; RUNNABLE.
REASON: Existing evidence needs a targeted comparison against all expected assertions; no V2 browser execution yet.
SCOPE: Historical evidence only; V2 not executed
V3: Blocked [TOOL_LIMITATION]. Proven already: No complete direct evidence; earlier notes retained above.
Remaining: Required assertions not yet fully verified: Record actual tested support and failures; no assumed PASS from emulation/build checks. Missing hardware is Blocked until tested or a documented scope exception is approved. Procedure: At 200% zoom, inspect site nav/action bar, both game menus and dialogs; do not assume canvas gameplay scales like text.
Specific reason: Current browser tools do not provide the required full browser console/network, zoom, engine or accessibility capability.
Attempted this run: no. Owner: Engineer. Next step: Establish the specific required fixture/tool/runtime, then Human tester executes: Required assertions not yet fully verified: Record actual tested support and failures; no assumed PASS from emulation/build checks. Missing hardware is Blocked until tested or a documented scope exception is approved. Procedure: At 200% zoom, inspect site nav/action bar, both game menus and dialogs; do not assume canvas gameplay scales like text.
Session: S01; scope: Historical evidence only; V2 not executed. See QA_FINALIZATION_V3_JOURNAL.json#MOB-034 and HANDOFF_AND_FIX_QUEUE.md.
FINAL AI 4B.2 (2026-10-07): BLOCKED — HUMAN TESTING REQUIRED [HUMAN_BROWSER].
Why AI did not finish: The supported browser API cannot certify native fullscreen/pointer mapping, browser zoom or the required second browser.
AI already proved: No complete independent evidence for the remaining assertions; historical observations remain in the workbook.
Remaining: Record actual tested support and failures; no assumed PASS from emulation/build checks. Missing hardware is Blocked until tested or a documented scope exception is approved. Procedure: At 200% zoom, inspect site nav/action bar, both game menus and dialogs; do not assume canvas gameplay scales like text.
Human action (HQA-07): 1. Use LIVE; Native Chrome or Edge supporting fullscreen, browser zoom and positioned pointer; physical rotation where listed. 2. Use Sessions row for exact hardware/browser. Physical local access is optional unless available. 3. Execute only the remaining assertion: Record actual tested support and failures; no assumed PASS from emulation/build checks. Missing hardware is Blocked until tested or a documented scope exception is approved. Procedure: At 200% zoom, inspect site nav/action bar, both game menus and dialogs; do not assume canvas gameplay scales like text.
Expected: Record actual tested support and failures; no assumed PASS from emulation/build checks. Missing hardware is Blocked until tested or a documented scope exception is approved.
Capture: Pass/Fail per ID, screenshot or timestamped video/state snapshot, device/OS/browser versions, viewport/zoom/DPR and a note; compare prior evidence instead of repeating proven subassertions.
Session/evidence: S17; Historical evidence retained; no fresh case execution claimed. Full grouped instructions: HUMAN_QA_FINAL.md#hqa-07. Historical Bug IDs are retained links, not current confirmed dependencies unless explicitly stated.
FINAL HUMAN QA (2026-10-07): PASS. Human tester reports the remaining manual assertion(s) were executed and behaved as expected. Prior AI evidence above is retained; no additional defect was observed for this row.</x:v>
      </x:c>
      <x:c r="G42" s="44" t="str">
        <x:v>Use Sessions row for exact hardware/browser. Physical local access is optional unless available.</x:v>
      </x:c>
      <x:c r="H42" s="44" t="str">
        <x:v>At 200% zoom, inspect site nav/action bar, both game menus and dialogs; do not assume canvas gameplay scales like text.</x:v>
      </x:c>
      <x:c r="I42" s="44" t="str">
        <x:v>Record actual tested support and failures; no assumed PASS from emulation/build checks. Missing hardware is Blocked until tested or a documented scope exception is approved.</x:v>
      </x:c>
      <x:c r="J42" s="48" t="str">
        <x:v>C:/Users/mlgjm/OneDrive/Desktop/GameWebsite/outputs/qa-20261006/QA_Evidence/notes/browser-observations.md; V3 journal: C:/Users/mlgjm/OneDrive/Desktop/GameWebsite/outputs/qa-finalization-v3/QA_FINALIZATION_V3_JOURNAL.json#MOB-034
Human QA completion statement, 2026-10-07; prior AI evidence retained.</x:v>
      </x:c>
      <x:c r="K42" s="48"/>
      <x:c r="L42" s="48" t="str">
        <x:v>S20</x:v>
      </x:c>
      <x:c r="M42" s="48" t="str">
        <x:v>Hristo</x:v>
      </x:c>
      <x:c r="N42" s="58" t="n">
        <x:v>46302</x:v>
      </x:c>
      <x:c r="O42" s="55" t="str"/>
    </x:row>
  </x:sheetData>
  <x:mergeCells>
    <x:mergeCell ref="A1:O2"/>
    <x:mergeCell ref="A3:O3"/>
    <x:mergeCell ref="A4:O4"/>
  </x:mergeCells>
  <x:conditionalFormatting sqref="E9:E42">
    <x:cfRule type="expression" dxfId="72" priority="1">
      <x:formula>$E9="Not run"</x:formula>
    </x:cfRule>
    <x:cfRule type="expression" dxfId="73" priority="2">
      <x:formula>$E9="In progress"</x:formula>
    </x:cfRule>
    <x:cfRule type="expression" dxfId="74" priority="3">
      <x:formula>$E9="Pass"</x:formula>
    </x:cfRule>
    <x:cfRule type="expression" dxfId="75" priority="4">
      <x:formula>$E9="Fail"</x:formula>
    </x:cfRule>
    <x:cfRule type="expression" dxfId="76" priority="5">
      <x:formula>$E9="Blocked"</x:formula>
    </x:cfRule>
    <x:cfRule type="expression" dxfId="77" priority="6">
      <x:formula>$E9="Retest due"</x:formula>
    </x:cfRule>
    <x:cfRule type="expression" dxfId="78" priority="7">
      <x:formula>$E9="N/A"</x:formula>
    </x:cfRule>
  </x:conditionalFormatting>
  <x:conditionalFormatting sqref="C9:C42">
    <x:cfRule type="expression" dxfId="79" priority="8">
      <x:formula>$C9="P0 - Critical"</x:formula>
    </x:cfRule>
  </x:conditionalFormatting>
  <x:dataValidations count="3">
    <x:dataValidation type="list" sqref="E9:E42">
      <x:formula1>"Not run,In progress,Pass,Fail,Blocked,Retest due,N/A"</x:formula1>
    </x:dataValidation>
    <x:dataValidation type="list" sqref="C9:C42">
      <x:formula1>"P0 - Critical,P1 - Required,P2 - Polish"</x:formula1>
    </x:dataValidation>
    <x:dataValidation type="list" sqref="L9:L42">
      <x:formula1>'Sessions'!$A$9:$A$38</x:formula1>
    </x:dataValidation>
  </x:dataValidations>
  <x:pageMargins left="0.7" right="0.7" top="0.75" bottom="0.75" header="0.3" footer="0.3"/>
  <x:tableParts count="1">
    <x:tablePart xmlns:r="http://schemas.openxmlformats.org/officeDocument/2006/relationships" r:id="R1ff03969ace7476b"/>
  </x:tableParts>
</x:worksheet>
</file>

<file path=xl/worksheets/sheet14.xml><?xml version="1.0" encoding="utf-8"?>
<x:worksheet xmlns:x="http://schemas.openxmlformats.org/spreadsheetml/2006/main">
  <x:sheetFormatPr defaultRowHeight="15"/>
  <x:cols>
    <x:col min="1" max="1" width="14" hidden="0" customWidth="1"/>
    <x:col min="2" max="2" width="20" hidden="0" customWidth="1"/>
    <x:col min="3" max="3" width="19" hidden="0" customWidth="1"/>
    <x:col min="4" max="4" width="22" hidden="0" customWidth="1"/>
    <x:col min="5" max="5" width="21" hidden="0" customWidth="1"/>
    <x:col min="6" max="6" width="35" hidden="0" customWidth="1"/>
    <x:col min="7" max="7" width="38" hidden="0" customWidth="1"/>
    <x:col min="8" max="8" width="38" hidden="0" customWidth="1"/>
    <x:col min="9" max="9" width="40" hidden="0" customWidth="1"/>
    <x:col min="10" max="10" width="27" hidden="0" customWidth="1"/>
    <x:col min="11" max="11" width="14" hidden="0" customWidth="1"/>
    <x:col min="12" max="12" width="25" hidden="0" customWidth="1"/>
    <x:col min="13" max="13" width="27" hidden="0" customWidth="1"/>
    <x:col min="14" max="14" width="20" hidden="0" customWidth="1"/>
    <x:col min="15" max="15" width="24" hidden="0" customWidth="1"/>
    <x:col min="16" max="16" width="36" hidden="0" customWidth="1"/>
  </x:cols>
  <x:sheetData>
    <x:row r="1" ht="22" customHeight="1">
      <x:c r="A1" s="66" t="str">
        <x:v>BUG LOG / FIX / RETEST</x:v>
      </x:c>
      <x:c r="B1" s="66"/>
      <x:c r="C1" s="66"/>
      <x:c r="D1" s="66"/>
      <x:c r="E1" s="66"/>
      <x:c r="F1" s="66"/>
      <x:c r="G1" s="66"/>
      <x:c r="H1" s="66"/>
      <x:c r="I1" s="66"/>
      <x:c r="J1" s="66"/>
      <x:c r="K1" s="66"/>
      <x:c r="L1" s="66"/>
      <x:c r="M1" s="66"/>
      <x:c r="N1" s="66"/>
      <x:c r="O1" s="66"/>
      <x:c r="P1" s="66"/>
    </x:row>
    <x:row r="2" ht="22" customHeight="1">
      <x:c r="A2" s="66"/>
      <x:c r="B2" s="66"/>
      <x:c r="C2" s="66"/>
      <x:c r="D2" s="66"/>
      <x:c r="E2" s="66"/>
      <x:c r="F2" s="66"/>
      <x:c r="G2" s="66"/>
      <x:c r="H2" s="66"/>
      <x:c r="I2" s="66"/>
      <x:c r="J2" s="66"/>
      <x:c r="K2" s="66"/>
      <x:c r="L2" s="66"/>
      <x:c r="M2" s="66"/>
      <x:c r="N2" s="66"/>
      <x:c r="O2" s="66"/>
      <x:c r="P2" s="66"/>
    </x:row>
    <x:row r="3" ht="27" customHeight="1">
      <x:c r="A3" s="69" t="str">
        <x:v>Use Test ID(s) and Session ID to connect failures to the exact environment. Empty rows do not count as open defects.</x:v>
      </x:c>
      <x:c r="B3" s="69"/>
      <x:c r="C3" s="69"/>
      <x:c r="D3" s="69"/>
      <x:c r="E3" s="69"/>
      <x:c r="F3" s="69"/>
      <x:c r="G3" s="69"/>
      <x:c r="H3" s="69"/>
      <x:c r="I3" s="69"/>
      <x:c r="J3" s="69"/>
      <x:c r="K3" s="69"/>
      <x:c r="L3" s="69"/>
      <x:c r="M3" s="69"/>
      <x:c r="N3" s="69"/>
      <x:c r="O3" s="69"/>
      <x:c r="P3" s="69"/>
    </x:row>
    <x:row r="4" ht="22" customHeight="1">
      <x:c r="A4" s="63"/>
      <x:c r="B4" s="63"/>
      <x:c r="C4" s="63"/>
      <x:c r="D4" s="63"/>
      <x:c r="E4" s="63"/>
      <x:c r="F4" s="63"/>
      <x:c r="G4" s="63"/>
      <x:c r="H4" s="63"/>
      <x:c r="I4" s="63"/>
      <x:c r="J4" s="63"/>
      <x:c r="K4" s="63"/>
      <x:c r="L4" s="63"/>
      <x:c r="M4" s="63"/>
      <x:c r="N4" s="63"/>
      <x:c r="O4" s="63"/>
      <x:c r="P4" s="63"/>
    </x:row>
    <x:row r="5" ht="22" customHeight="1">
      <x:c r="A5" s="166" t="str">
        <x:v>S0 = cannot play / unsafe data or reward failure; S1 = major feature broken; S2 = limited issue; S3 = polish. Open S0/S1 defects block product sign-off. 'Closed' requires a passing retest; 'Deferred' is not a silent critical-bug waiver.</x:v>
      </x:c>
      <x:c r="B5" s="166"/>
      <x:c r="C5" s="166"/>
      <x:c r="D5" s="166"/>
      <x:c r="E5" s="166"/>
      <x:c r="F5" s="166"/>
      <x:c r="G5" s="166"/>
      <x:c r="H5" s="166"/>
      <x:c r="I5" s="166"/>
      <x:c r="J5" s="166"/>
      <x:c r="K5" s="166"/>
      <x:c r="L5" s="166"/>
      <x:c r="M5" s="166"/>
      <x:c r="N5" s="166"/>
      <x:c r="O5" s="166"/>
      <x:c r="P5" s="166"/>
    </x:row>
    <x:row r="6" ht="22" customHeight="1">
      <x:c r="A6" s="166"/>
      <x:c r="B6" s="166"/>
      <x:c r="C6" s="166"/>
      <x:c r="D6" s="166"/>
      <x:c r="E6" s="166"/>
      <x:c r="F6" s="166"/>
      <x:c r="G6" s="166"/>
      <x:c r="H6" s="166"/>
      <x:c r="I6" s="166"/>
      <x:c r="J6" s="166"/>
      <x:c r="K6" s="166"/>
      <x:c r="L6" s="166"/>
      <x:c r="M6" s="166"/>
      <x:c r="N6" s="166"/>
      <x:c r="O6" s="166"/>
      <x:c r="P6" s="166"/>
    </x:row>
    <x:row r="7" ht="22" customHeight="1">
      <x:c r="A7" s="63"/>
      <x:c r="B7" s="63"/>
      <x:c r="C7" s="63"/>
      <x:c r="D7" s="63"/>
      <x:c r="E7" s="63"/>
      <x:c r="F7" s="63"/>
      <x:c r="G7" s="63"/>
      <x:c r="H7" s="63"/>
      <x:c r="I7" s="63"/>
      <x:c r="J7" s="63"/>
      <x:c r="K7" s="63"/>
      <x:c r="L7" s="63"/>
      <x:c r="M7" s="63"/>
      <x:c r="N7" s="63"/>
      <x:c r="O7" s="63"/>
      <x:c r="P7" s="63"/>
    </x:row>
    <x:row r="8" ht="36" customHeight="1">
      <x:c r="A8" s="194" t="str">
        <x:v>Bug ID</x:v>
      </x:c>
      <x:c r="B8" s="194" t="str">
        <x:v>Linked test ID(s)</x:v>
      </x:c>
      <x:c r="C8" s="194" t="str">
        <x:v>Environment</x:v>
      </x:c>
      <x:c r="D8" s="194" t="str">
        <x:v>Severity</x:v>
      </x:c>
      <x:c r="E8" s="194" t="str">
        <x:v>Bug status</x:v>
      </x:c>
      <x:c r="F8" s="194" t="str">
        <x:v>Short title</x:v>
      </x:c>
      <x:c r="G8" s="194" t="str">
        <x:v>Expected</x:v>
      </x:c>
      <x:c r="H8" s="194" t="str">
        <x:v>Actual</x:v>
      </x:c>
      <x:c r="I8" s="194" t="str">
        <x:v>Reproduction steps</x:v>
      </x:c>
      <x:c r="J8" s="194" t="str">
        <x:v>Evidence</x:v>
      </x:c>
      <x:c r="K8" s="194" t="str">
        <x:v>Session ID</x:v>
      </x:c>
      <x:c r="L8" s="194" t="str">
        <x:v>Found in SHA</x:v>
      </x:c>
      <x:c r="M8" s="194" t="str">
        <x:v>Fix PR / SHA</x:v>
      </x:c>
      <x:c r="N8" s="194" t="str">
        <x:v>Retest result</x:v>
      </x:c>
      <x:c r="O8" s="194" t="str">
        <x:v>Owner / retest date</x:v>
      </x:c>
      <x:c r="P8" s="194" t="str">
        <x:v>Notes / decision</x:v>
      </x:c>
    </x:row>
    <x:row r="9" ht="76" customHeight="1">
      <x:c r="A9" s="48" t="str">
        <x:v>QA-001</x:v>
      </x:c>
      <x:c r="B9" s="48" t="str">
        <x:v>ADS-030</x:v>
      </x:c>
      <x:c r="C9" s="48" t="str">
        <x:v>LOCAL DEV</x:v>
      </x:c>
      <x:c r="D9" s="48" t="str">
        <x:v>S2 - Minor</x:v>
      </x:c>
      <x:c r="E9" s="48" t="str">
        <x:v>Closed</x:v>
      </x:c>
      <x:c r="F9" s="48" t="str">
        <x:v>Interstitial mock exposes early-close control</x:v>
      </x:c>
      <x:c r="G9" s="48" t="str">
        <x:v>No player Skip/early Close/X while an interstitial is active.</x:v>
      </x:c>
      <x:c r="H9" s="48" t="str">
        <x:v>Forced mock interstitial displayed enabled “Close early · no reward” while countdown exceeded one second.</x:v>
      </x:c>
      <x:c r="I9" s="48" t="str">
        <x:v>Local DEV Orbit: open website Ad Dev with Ctrl+Shift+A; choose FORCE INTERSTITIAL — bypass eligibility; inspect the presentation before countdown ends.</x:v>
      </x:c>
      <x:c r="J9" s="48" t="str">
        <x:v>C:/Users/mlgjm/OneDrive/Desktop/GameWebsite/outputs/qa-20261006/QA_Evidence/notes/browser-observations.md</x:v>
      </x:c>
      <x:c r="K9" s="48" t="str">
        <x:v>S02</x:v>
      </x:c>
      <x:c r="L9" s="48" t="str">
        <x:v>42e8b2007980756a21d17f0e5c0bbd9c8d13d325</x:v>
      </x:c>
      <x:c r="M9" s="48"/>
      <x:c r="N9" s="48" t="str">
        <x:v>Pass</x:v>
      </x:c>
      <x:c r="O9" s="48" t="str">
        <x:v>Hristo / 2026-10-07</x:v>
      </x:c>
      <x:c r="P9" s="48" t="str">
        <x:v>V2: NOT REPRODUCED IN CLEAN V2 ENVIRONMENT. Retest Pass describes clean-runtime behavior; historical Open finding retained, not labelled Fixed. Reactor panel/renderer and real Cool reward work; interstitial has no close; committed rewarded cap blocks session-cap. See CONFIRMED_DEFECTS.md.
FINAL AI 4B.2: Startup and interstitial5s countdown independently remained after actual dialog Escape/Space/Enter and outside-heading click; automatic completion restored menu. QA-001 not reproduced; historical status retained, no owner closure asserted.
FINAL HUMAN QA OWNER DECISION (2026-10-07): prior passing retest accepted; historical finding closed.</x:v>
      </x:c>
    </x:row>
    <x:row r="10" ht="76" customHeight="1">
      <x:c r="A10" s="48" t="str">
        <x:v>QA-002</x:v>
      </x:c>
      <x:c r="B10" s="48" t="str">
        <x:v>DEV-034</x:v>
      </x:c>
      <x:c r="C10" s="48" t="str">
        <x:v>LOCAL DEV</x:v>
      </x:c>
      <x:c r="D10" s="48" t="str">
        <x:v>S2 - Minor</x:v>
      </x:c>
      <x:c r="E10" s="48" t="str">
        <x:v>Closed</x:v>
      </x:c>
      <x:c r="F10" s="48" t="str">
        <x:v>Reactor DEV panel does not open on shortcut</x:v>
      </x:c>
      <x:c r="G10" s="48" t="str">
        <x:v>Ctrl+Shift+D opens the Reactor game DEV panel.</x:v>
      </x:c>
      <x:c r="H10" s="48" t="str">
        <x:v>Shortcut leaves the ordinary active board visible; no game DEV panel appears.</x:v>
      </x:c>
      <x:c r="I10" s="48" t="str">
        <x:v>Local DEV /games/reactor-stack/: initialize and make a move; focus the game iframe and press Ctrl+Shift+D. Reproduced again after closing website Ad Dev.</x:v>
      </x:c>
      <x:c r="J10" s="48" t="str">
        <x:v>C:/Users/mlgjm/OneDrive/Desktop/GameWebsite/outputs/qa-20261006/QA_Evidence/notes/browser-observations.md</x:v>
      </x:c>
      <x:c r="K10" s="48" t="str">
        <x:v>S02</x:v>
      </x:c>
      <x:c r="L10" s="48" t="str">
        <x:v>42e8b2007980756a21d17f0e5c0bbd9c8d13d325</x:v>
      </x:c>
      <x:c r="M10" s="48"/>
      <x:c r="N10" s="48" t="str">
        <x:v>Pass</x:v>
      </x:c>
      <x:c r="O10" s="48" t="str">
        <x:v>Hristo / 2026-10-07</x:v>
      </x:c>
      <x:c r="P10" s="48" t="str">
        <x:v>V2: NOT REPRODUCED IN CLEAN V2 ENVIRONMENT. Retest Pass describes clean-runtime behavior; historical Open finding retained, not labelled Fixed. Reactor panel/renderer and real Cool reward work; interstitial has no close; committed rewarded cap blocks session-cap. See CONFIRMED_DEFECTS.md.
FINAL HUMAN QA OWNER DECISION (2026-10-07): prior passing retest accepted; historical finding closed.</x:v>
      </x:c>
    </x:row>
    <x:row r="11" ht="76" customHeight="1">
      <x:c r="A11" s="48" t="str">
        <x:v>QA-003</x:v>
      </x:c>
      <x:c r="B11" s="48" t="str">
        <x:v>RAD-001, ADS-003, ADS-021</x:v>
      </x:c>
      <x:c r="C11" s="48" t="str">
        <x:v>LOCAL DEV</x:v>
      </x:c>
      <x:c r="D11" s="48" t="str">
        <x:v>S1 - Major</x:v>
      </x:c>
      <x:c r="E11" s="48" t="str">
        <x:v>Closed</x:v>
      </x:c>
      <x:c r="F11" s="48" t="str">
        <x:v>Reactor ads host repeatedly disconnects renderer</x:v>
      </x:c>
      <x:c r="G11" s="48" t="str">
        <x:v>Initialized Reactor game remains connected and ready to the host Ad Dev panel; eligible safe event starts a presentation.</x:v>
      </x:c>
      <x:c r="H11" s="48" t="str">
        <x:v>Panel showed Connected renderer NO, Renderer ready NO and Game state unknown; event list alternated renderer-connected/disconnected. An eligible synthetic safe event was accepted but stayed Request active YES without preparing/showing.</x:v>
      </x:c>
      <x:c r="I11" s="48" t="str">
        <x:v>Local DEV /games/reactor-stack/: initialize board, open website Ad Dev with Ctrl+Shift+A, inspect Overview and Events; click Make Eligible then SIMULATE SAFE EVENT (run-ended). Reload to clear pending request.</x:v>
      </x:c>
      <x:c r="J11" s="48" t="str">
        <x:v>C:/Users/mlgjm/OneDrive/Desktop/GameWebsite/outputs/qa-20261006/QA_Evidence/notes/browser-observations.md</x:v>
      </x:c>
      <x:c r="K11" s="48" t="str">
        <x:v>S02</x:v>
      </x:c>
      <x:c r="L11" s="48" t="str">
        <x:v>42e8b2007980756a21d17f0e5c0bbd9c8d13d325</x:v>
      </x:c>
      <x:c r="M11" s="48"/>
      <x:c r="N11" s="48" t="str">
        <x:v>Pass</x:v>
      </x:c>
      <x:c r="O11" s="48" t="str">
        <x:v>Hristo / 2026-10-07</x:v>
      </x:c>
      <x:c r="P11" s="48" t="str">
        <x:v>V2: NOT REPRODUCED IN CLEAN V2 ENVIRONMENT. Retest Pass describes clean-runtime behavior; historical Open finding retained, not labelled Fixed. Reactor panel/renderer and real Cool reward work; interstitial has no close; committed rewarded cap blocks session-cap. See CONFIRMED_DEFECTS.md.
FINAL HUMAN QA OWNER DECISION (2026-10-07): prior passing retest accepted; historical finding closed.</x:v>
      </x:c>
    </x:row>
    <x:row r="12" ht="76" customHeight="1">
      <x:c r="A12" s="48" t="str">
        <x:v>QA-004</x:v>
      </x:c>
      <x:c r="B12" s="48" t="str">
        <x:v>ADS-033</x:v>
      </x:c>
      <x:c r="C12" s="48" t="str">
        <x:v>LOCAL DEV</x:v>
      </x:c>
      <x:c r="D12" s="48" t="str">
        <x:v>S1 - Major</x:v>
      </x:c>
      <x:c r="E12" s="48" t="str">
        <x:v>Closed</x:v>
      </x:c>
      <x:c r="F12" s="48" t="str">
        <x:v>Rewarded session cap does not block generic test requests</x:v>
      </x:c>
      <x:c r="G12" s="48" t="str">
        <x:v>After the configured rewarded session cap is reached, another rewarded request must be blocked before provider presentation.</x:v>
      </x:c>
      <x:c r="H12" s="48" t="str">
        <x:v>Set global rewarded Maximum per session to 1 after a completed generic reward preview. Two additional generic rewarded requests were accepted, shown and completed; total shown=3, blocked=0. Generic tests issued no game reward acknowledgment.</x:v>
      </x:c>
      <x:c r="I12" s="48" t="str">
        <x:v>Local DEV Orbit: open website Ad Dev, complete TEST REWARDED GENERIC, set global rewarded cap to 1, request two more previews and inspect Events. Restored default max 10 and cleared observation counters.</x:v>
      </x:c>
      <x:c r="J12" s="48" t="str">
        <x:v>C:/Users/mlgjm/OneDrive/Desktop/GameWebsite/outputs/qa-20261006/QA_Evidence/notes/browser-observations.md</x:v>
      </x:c>
      <x:c r="K12" s="48" t="str">
        <x:v>S02</x:v>
      </x:c>
      <x:c r="L12" s="48" t="str">
        <x:v>42e8b2007980756a21d17f0e5c0bbd9c8d13d325</x:v>
      </x:c>
      <x:c r="M12" s="48"/>
      <x:c r="N12" s="48" t="str">
        <x:v>Pass</x:v>
      </x:c>
      <x:c r="O12" s="48" t="str">
        <x:v>Hristo / 2026-10-07</x:v>
      </x:c>
      <x:c r="P12" s="48" t="str">
        <x:v>V2: NOT REPRODUCED IN CLEAN V2 ENVIRONMENT. Retest Pass describes clean-runtime behavior; historical Open finding retained, not labelled Fixed. Reactor panel/renderer and real Cool reward work; interstitial has no close; committed rewarded cap blocks session-cap. See CONFIRMED_DEFECTS.md.
FINAL HUMAN QA OWNER DECISION (2026-10-07): prior passing retest accepted; historical finding closed.</x:v>
      </x:c>
    </x:row>
    <x:row r="13" ht="76" customHeight="1">
      <x:c r="A13" s="48" t="str">
        <x:v>V2-001</x:v>
      </x:c>
      <x:c r="B13" s="48" t="str">
        <x:v>DEV-047</x:v>
      </x:c>
      <x:c r="C13" s="48" t="str">
        <x:v>LOCAL DEV</x:v>
      </x:c>
      <x:c r="D13" s="48" t="str">
        <x:v>S2 - Minor</x:v>
      </x:c>
      <x:c r="E13" s="48" t="str">
        <x:v>Closed</x:v>
      </x:c>
      <x:c r="F13" s="48" t="str">
        <x:v>Fresh Run fixture creates unusable empty board</x:v>
      </x:c>
      <x:c r="G13" s="48" t="str">
        <x:v>Usable normal fresh run or truthful fixture label</x:v>
      </x:c>
      <x:c r="H13" s="48" t="str">
        <x:v>PLAYING; occupied0/36; legal0</x:v>
      </x:c>
      <x:c r="I13" s="48" t="str">
        <x:v>Open Reactor DEV; Fresh Run</x:v>
      </x:c>
      <x:c r="J13" s="48" t="str">
        <x:v>C:/Users/mlgjm/OneDrive/Desktop/GameWebsite/outputs/qa-recovery-v2/QA_Evidence/reactor-fresh-run-empty.png</x:v>
      </x:c>
      <x:c r="K13" s="48" t="str">
        <x:v>V2-DEV</x:v>
      </x:c>
      <x:c r="L13" s="48" t="str">
        <x:v>42e8b2007980756a21d17f0e5c0bbd9c8d13d325</x:v>
      </x:c>
      <x:c r="M13" s="48"/>
      <x:c r="N13" s="48" t="str">
        <x:v>PASS — 4B.1 retested original Fresh Run failure; six cells/17 legal actions in fresh run. Owner closure/sign-off pending.</x:v>
      </x:c>
      <x:c r="O13" s="48" t="str">
        <x:v>Hristo / 2026-10-07</x:v>
      </x:c>
      <x:c r="P13" s="48" t="str">
        <x:v>No source change
4B.1: Independent browser retest on merged main: actual Fresh Run passed. No code change in this run; status left Open for owner decision.
FINAL HUMAN QA OWNER DECISION (2026-10-07): prior passing retest accepted; historical finding closed.</x:v>
      </x:c>
    </x:row>
    <x:row r="14" ht="76" customHeight="1">
      <x:c r="A14" s="48" t="str">
        <x:v>V2-002</x:v>
      </x:c>
      <x:c r="B14" s="48" t="str">
        <x:v>DEV-053</x:v>
      </x:c>
      <x:c r="C14" s="48" t="str">
        <x:v>LOCAL DEV</x:v>
      </x:c>
      <x:c r="D14" s="48" t="str">
        <x:v>S2 - Minor</x:v>
      </x:c>
      <x:c r="E14" s="48" t="str">
        <x:v>Closed</x:v>
      </x:c>
      <x:c r="F14" s="48" t="str">
        <x:v>Force Win/Fail bypass terminal lifecycle</x:v>
      </x:c>
      <x:c r="G14" s="48" t="str">
        <x:v>RESULT and result/log once</x:v>
      </x:c>
      <x:c r="H14" s="48" t="str">
        <x:v>Result flag changes; phase PLAYING; log unchanged</x:v>
      </x:c>
      <x:c r="I14" s="48" t="str">
        <x:v>Open Reactor DEV; Force Win then Force Fail; close panel</x:v>
      </x:c>
      <x:c r="J14" s="48" t="str">
        <x:v>C:/Users/mlgjm/OneDrive/Desktop/GameWebsite/outputs/qa-recovery-v2/QA_Evidence/reactor-force-fail-player.png</x:v>
      </x:c>
      <x:c r="K14" s="48" t="str">
        <x:v>V2-DEV</x:v>
      </x:c>
      <x:c r="L14" s="48" t="str">
        <x:v>42e8b2007980756a21d17f0e5c0bbd9c8d13d325</x:v>
      </x:c>
      <x:c r="M14" s="48"/>
      <x:c r="N14" s="48" t="str">
        <x:v>PASS — 4B.1 retested both Force Win and Force Fail with one terminal result/log each; ordinary restart did not duplicate. Owner closure/sign-off pending.</x:v>
      </x:c>
      <x:c r="O14" s="48" t="str">
        <x:v>Hristo / 2026-10-07</x:v>
      </x:c>
      <x:c r="P14" s="48" t="str">
        <x:v>Normal threshold-based terminal paths pass
4B.1: Independent browser retest on merged main: result UI/terminal state and two completed session records verified. Status left Open for owner decision.
FINAL HUMAN QA OWNER DECISION (2026-10-07): prior passing retest accepted; historical finding closed.</x:v>
      </x:c>
    </x:row>
    <x:row r="15" ht="76" customHeight="1">
      <x:c r="A15" s="48" t="str">
        <x:v>V2-003</x:v>
      </x:c>
      <x:c r="B15" s="48" t="str">
        <x:v>PROD-008</x:v>
      </x:c>
      <x:c r="C15" s="48" t="str">
        <x:v>LOCAL PROD</x:v>
      </x:c>
      <x:c r="D15" s="48" t="str">
        <x:v>S2 - Minor</x:v>
      </x:c>
      <x:c r="E15" s="48" t="str">
        <x:v>Deferred</x:v>
      </x:c>
      <x:c r="F15" s="48" t="str">
        <x:v>Orbit MUTE does not persist on reload</x:v>
      </x:c>
      <x:c r="G15" s="48" t="str">
        <x:v>Settings persistence per workbook</x:v>
      </x:c>
      <x:c r="H15" s="48" t="str">
        <x:v>MUTE true before reload, false afterward; best score persists</x:v>
      </x:c>
      <x:c r="I15" s="48" t="str">
        <x:v>Play; Pause; Settings; check MUTE; reload; repeat Settings</x:v>
      </x:c>
      <x:c r="J15" s="48" t="str">
        <x:v>C:/Users/mlgjm/OneDrive/Desktop/GameWebsite/outputs/qa-recovery-v2/QA_Evidence/prod-mute-recheck-after.png</x:v>
      </x:c>
      <x:c r="K15" s="48" t="str">
        <x:v>V2-PROD</x:v>
      </x:c>
      <x:c r="L15" s="48" t="str">
        <x:v>42e8b2007980756a21d17f0e5c0bbd9c8d13d325</x:v>
      </x:c>
      <x:c r="M15" s="48"/>
      <x:c r="N15" s="48" t="str">
        <x:v>N/A — final audible acceptance deferred to dedicated Audio QA; UI mute persistence had already been observed in Final AI.</x:v>
      </x:c>
      <x:c r="O15" s="48" t="str">
        <x:v>Hristo / 2026-10-07</x:v>
      </x:c>
      <x:c r="P15" s="48" t="str">
        <x:v>One clean second reproduction; audio settings are memory-only
4B.1: PROD-008 requires a disposable production-preview profile. Current preview tab could not be certified disposable, so profile/settings mutation was skipped.
FINAL AI 4B.2: No fresh mismatch reproduced. PROD-008 stays Blocked for isolated profile/compound assertions, not a current confirmed failure.
FINAL HUMAN QA: audio-owned acceptance explicitly marked N/A by owner; dedicated Audio QA required after final audio implementation.</x:v>
      </x:c>
    </x:row>
    <x:row r="16" ht="76" customHeight="1">
      <x:c r="A16" s="48" t="str">
        <x:v>V2-004</x:v>
      </x:c>
      <x:c r="B16" s="48" t="str">
        <x:v>REA-022; MOB-001; MOB-002; MOB-006; MOB-007; MOB-008; MOB-014; MOB-015; MOB-019; MOB-020; MOB-021; PROD-012</x:v>
      </x:c>
      <x:c r="C16" s="48" t="str">
        <x:v>ALL</x:v>
      </x:c>
      <x:c r="D16" s="48" t="str">
        <x:v>S1 - Major</x:v>
      </x:c>
      <x:c r="E16" s="48" t="str">
        <x:v>Open</x:v>
      </x:c>
      <x:c r="F16" s="48" t="str">
        <x:v>Reactor constrained layout hides both powers at required sizes</x:v>
      </x:c>
      <x:c r="G16" s="48" t="str">
        <x:v>Cool/Upgrade and HUD remain usable at required phone/landscape allocations</x:v>
      </x:c>
      <x:c r="H16" s="48" t="str">
        <x:v>All four power buttons render0×0 despite one free charge each</x:v>
      </x:c>
      <x:c r="I16" s="48" t="str">
        <x:v>Set320×800; reload LIVE Reactor; Initialize; repeat required narrow allocations</x:v>
      </x:c>
      <x:c r="J16" s="48" t="str">
        <x:v>C:/Users/mlgjm/OneDrive/Desktop/GameWebsite/outputs/qa-recovery-v2/QA_Evidence/reactor-hidden-powers-clean-repro.png</x:v>
      </x:c>
      <x:c r="K16" s="48" t="str">
        <x:v>V2-LIVE</x:v>
      </x:c>
      <x:c r="L16" s="48" t="str">
        <x:v>42e8b2007980756a21d17f0e5c0bbd9c8d13d325</x:v>
      </x:c>
      <x:c r="M16" s="48"/>
      <x:c r="N16" s="48" t="str">
        <x:v>FAIL — Human QA reproduced responsive/mobile fit issues; see HQA-001 and HQA-003.</x:v>
      </x:c>
      <x:c r="O16" s="48" t="str">
        <x:v>Engineer / post-Human fix phase</x:v>
      </x:c>
      <x:c r="P16" s="48" t="str">
        <x:v>No product change; same defect verified in DEV and PROD matrices
4B.1: Local viewport evidence supports a partial fix retest, not bug closure. Live deployed identity matched commit but precise live canvas move was not performed. MOB and PROD rows stay Blocked for their compound assertions.
FINAL AI 4B.2: No hidden-power regression reproduced in these emulated allocations; MOB-014–026 independently Pass in exact DEV responsive scope. Do not equate geometry with physical touch/fullscreen.
FINAL HUMAN QA (2026-10-07): related constrained/mobile layout issues were reproduced. Keep Open; current details split into HQA-001 and HQA-003.</x:v>
      </x:c>
    </x:row>
    <x:row r="17" ht="76" customHeight="1">
      <x:c r="A17" s="48" t="str">
        <x:v>V2-005</x:v>
      </x:c>
      <x:c r="B17" s="48" t="str">
        <x:v>DEV-040</x:v>
      </x:c>
      <x:c r="C17" s="48" t="str">
        <x:v>LOCAL DEV</x:v>
      </x:c>
      <x:c r="D17" s="48" t="str">
        <x:v>S2 - Minor</x:v>
      </x:c>
      <x:c r="E17" s="48" t="str">
        <x:v>Closed</x:v>
      </x:c>
      <x:c r="F17" s="48" t="str">
        <x:v>Heat percent label uses raw heat after live maximum changes</x:v>
      </x:c>
      <x:c r="G17" s="48" t="str">
        <x:v>Percent label agrees with capacity/bar</x:v>
      </x:c>
      <x:c r="H17" s="48" t="str">
        <x:v>Heat50/50 overload: label50%, bar100%</x:v>
      </x:c>
      <x:c r="I17" s="48" t="str">
        <x:v>Set Maximum Heat50; Near Heat Failure; make actual adjacent move; also reproduced with max4</x:v>
      </x:c>
      <x:c r="J17" s="48" t="str">
        <x:v>C:/Users/mlgjm/OneDrive/Desktop/GameWebsite/outputs/qa-recovery-v2/QA_Evidence/reactor-max-heat-label-mismatch.png</x:v>
      </x:c>
      <x:c r="K17" s="48" t="str">
        <x:v>V2-DEV</x:v>
      </x:c>
      <x:c r="L17" s="48" t="str">
        <x:v>42e8b2007980756a21d17f0e5c0bbd9c8d13d325</x:v>
      </x:c>
      <x:c r="M17" s="48"/>
      <x:c r="N17" s="48" t="str">
        <x:v>PARTIAL — default-maximum heat label/bar agreement observed at 50/100 and 25/100 after Cool. Non-default maximum and other heat-field assertions not retested; keep Open.
FINAL AI 4B.2: PASS for original V2-005 finding: Maximum Heat200 and Heat50 showed raw50/200, HUD25%, bar25%; committed keyboard edit persisted across updates/help. DEV-040 remains Blocked for other heat/merge-field assertions.</x:v>
      </x:c>
      <x:c r="O17" s="48" t="str">
        <x:v>Hristo / 2026-10-07</x:v>
      </x:c>
      <x:c r="P17" s="48" t="str">
        <x:v>Default100 masks mismatch; no product change
4B.1: DEV-040 original non-default test needs Maximum Heat input; one short recovery found no usable semantic locator. No further attempt; preserve old failure and queue exact remaining field sweep.
FINAL AI 4B.2: Independent non-default original acceptance retest passed on merged main; no source change. Owner closure/sign-off remains separate.
FINAL HUMAN QA OWNER DECISION (2026-10-07): prior passing retest accepted; historical finding closed.</x:v>
      </x:c>
    </x:row>
    <x:row r="18" ht="76" customHeight="1">
      <x:c r="A18" s="48" t="str">
        <x:v>FAI-001</x:v>
      </x:c>
      <x:c r="B18" s="48" t="str">
        <x:v>RAD-011</x:v>
      </x:c>
      <x:c r="C18" s="48" t="str">
        <x:v>LOCAL DEV</x:v>
      </x:c>
      <x:c r="D18" s="48" t="str">
        <x:v>S2 - Minor</x:v>
      </x:c>
      <x:c r="E18" s="48" t="str">
        <x:v>Open</x:v>
      </x:c>
      <x:c r="F18" s="48" t="str">
        <x:v>Prior Reactor failure result reappears on a later Main Menu</x:v>
      </x:c>
      <x:c r="G18" s="48" t="str">
        <x:v>After a fresh restart and Pause→Main Menu, show INITIALIZE REACTOR menu with coherent MENU state.</x:v>
      </x:c>
      <x:c r="H18" s="48" t="str">
        <x:v>Heat0 fresh board is covered by old CORE OVERLOAD/result0; read-only phase is MENU/no run.</x:v>
      </x:c>
      <x:c r="I18" s="48" t="str">
        <x:v>QA Powers Depleted→Force Fail→close inspector→REINITIALIZE REACTOR→PAUSE→MAIN MENU. Reproduced once; clean reload without earlier failure returns proper menu.</x:v>
      </x:c>
      <x:c r="J18" s="48" t="str">
        <x:v>outputs/qa-final-ai/2026-10-07_000739/QA_Evidence/reactor-stale-result-after-menu.png; outputs/qa-final-ai/2026-10-07_000739/QA_Evidence/reactor-menu-stale-result.json.json; outputs/qa-final-ai/2026-10-07_000739/QA_Evidence/observations.json</x:v>
      </x:c>
      <x:c r="K18" s="48" t="str">
        <x:v>S18</x:v>
      </x:c>
      <x:c r="L18" s="48" t="str">
        <x:v>7571df5c5990ba1e7bd55706b8aa16ebc994da8f</x:v>
      </x:c>
      <x:c r="M18" s="48" t="str"/>
      <x:c r="N18" s="48" t="str">
        <x:v>Fail</x:v>
      </x:c>
      <x:c r="O18" s="48" t="str">
        <x:v>Engineer after Human QA</x:v>
      </x:c>
      <x:c r="P18" s="48" t="str">
        <x:v>Found2026-10-07; suggestedS2. Independent current observation; no diagnosis/fix. Remaining RAD-011 rapid/cooldown assertions unverified. No speculative dependency assigned.</x:v>
      </x:c>
    </x:row>
    <x:row r="19" ht="76" customHeight="1">
      <x:c r="A19" s="48" t="str">
        <x:v>HQA-001</x:v>
      </x:c>
      <x:c r="B19" s="48" t="str">
        <x:v>REA-022</x:v>
      </x:c>
      <x:c r="C19" s="48" t="str">
        <x:v>LIVE / PHYSICAL ANDROID</x:v>
      </x:c>
      <x:c r="D19" s="48" t="str">
        <x:v>S2 - Minor</x:v>
      </x:c>
      <x:c r="E19" s="48" t="str">
        <x:v>Open</x:v>
      </x:c>
      <x:c r="F19" s="48" t="str">
        <x:v>Reactor compact containment header overlaps/reflows</x:v>
      </x:c>
      <x:c r="G19" s="48" t="str">
        <x:v>Containment-grid instructions/HUD remain readable and stable without overlapping or disruptive reflow at compact allocations.</x:v>
      </x:c>
      <x:c r="H19" s="48" t="str">
        <x:v>Human observed text above the Containment Grid overlapping/reflowing and the Reactor UI readjusting on compact/mobile layouts.</x:v>
      </x:c>
      <x:c r="I19" s="48" t="str">
        <x:v>Open Reactor on a narrow/compact or physical-mobile layout; initialize/play; resize/orient and observe the header/instruction area above the grid.</x:v>
      </x:c>
      <x:c r="J19" s="48" t="str">
        <x:v>Human QA screenshots/notes in ChatGPT conversation, 2026-10-07</x:v>
      </x:c>
      <x:c r="K19" s="48" t="str">
        <x:v>S21</x:v>
      </x:c>
      <x:c r="L19" s="48" t="str">
        <x:v>7571df5c5990ba1e7bd55706b8aa16ebc994da8f</x:v>
      </x:c>
      <x:c r="M19" s="48"/>
      <x:c r="N19" s="48" t="str">
        <x:v>Fail</x:v>
      </x:c>
      <x:c r="O19" s="48" t="str">
        <x:v>Engineer / post-Human fix phase</x:v>
      </x:c>
      <x:c r="P19" s="48" t="str">
        <x:v>Related to historical V2-004. Collected only during Human QA; no fix attempted.</x:v>
      </x:c>
    </x:row>
    <x:row r="20" ht="76" customHeight="1">
      <x:c r="A20" s="48" t="str">
        <x:v>HQA-002</x:v>
      </x:c>
      <x:c r="B20" s="48" t="str">
        <x:v>REA-024; MOB-027</x:v>
      </x:c>
      <x:c r="C20" s="48" t="str">
        <x:v>LIVE / PHYSICAL ANDROID</x:v>
      </x:c>
      <x:c r="D20" s="48" t="str">
        <x:v>S1 - Major</x:v>
      </x:c>
      <x:c r="E20" s="48" t="str">
        <x:v>Open</x:v>
      </x:c>
      <x:c r="F20" s="48" t="str">
        <x:v>Reactor drag does not work on physical Android</x:v>
      </x:c>
      <x:c r="G20" s="48" t="str">
        <x:v>A real touch drag selects/moves the intended cell without page scroll, lost pointer capture or ignored input.</x:v>
      </x:c>
      <x:c r="H20" s="48" t="str">
        <x:v>Tap-source/destination works, but dragging cells on the physical Android phone does not work.</x:v>
      </x:c>
      <x:c r="I20" s="48" t="str">
        <x:v>Open LIVE Reactor on Android Chrome; initialize; attempt several valid source→destination drags on the board.</x:v>
      </x:c>
      <x:c r="J20" s="48" t="str">
        <x:v>Human QA Android observation, 2026-10-07</x:v>
      </x:c>
      <x:c r="K20" s="48" t="str">
        <x:v>S21</x:v>
      </x:c>
      <x:c r="L20" s="48" t="str">
        <x:v>7571df5c5990ba1e7bd55706b8aa16ebc994da8f</x:v>
      </x:c>
      <x:c r="M20" s="48"/>
      <x:c r="N20" s="48" t="str">
        <x:v>Fail</x:v>
      </x:c>
      <x:c r="O20" s="48" t="str">
        <x:v>Engineer / post-Human fix phase</x:v>
      </x:c>
      <x:c r="P20" s="48" t="str">
        <x:v>Required physical-device assertion failed; do not substitute emulation.</x:v>
      </x:c>
    </x:row>
    <x:row r="21" ht="76" customHeight="1">
      <x:c r="A21" s="48" t="str">
        <x:v>HQA-003</x:v>
      </x:c>
      <x:c r="B21" s="48" t="str">
        <x:v>MOB-027; MOB-033</x:v>
      </x:c>
      <x:c r="C21" s="48" t="str">
        <x:v>LIVE / PHYSICAL ANDROID / COMPACT</x:v>
      </x:c>
      <x:c r="D21" s="48" t="str">
        <x:v>S1 - Major</x:v>
      </x:c>
      <x:c r="E21" s="48" t="str">
        <x:v>Open</x:v>
      </x:c>
      <x:c r="F21" s="48" t="str">
        <x:v>Game frame clips on mobile and very short browser heights</x:v>
      </x:c>
      <x:c r="G21" s="48" t="str">
        <x:v>The game player continues to fit/resize within the available viewport; controls remain usable without the game frame being cut off.</x:v>
      </x:c>
      <x:c r="H21" s="48" t="str">
        <x:v>Human observed the game window cut off on physical mobile. Additional browser observation: below roughly 360 CSS-px height the game cuts instead of continuing to resize.</x:v>
      </x:c>
      <x:c r="I21" s="48" t="str">
        <x:v>Open either game on physical Android and rotate; also reduce desktop browser height below ~360px and compare player fit/resizing.</x:v>
      </x:c>
      <x:c r="J21" s="48" t="str">
        <x:v>Human QA screenshots/notes in ChatGPT conversation, 2026-10-07</x:v>
      </x:c>
      <x:c r="K21" s="48" t="str">
        <x:v>S21</x:v>
      </x:c>
      <x:c r="L21" s="48" t="str">
        <x:v>7571df5c5990ba1e7bd55706b8aa16ebc994da8f</x:v>
      </x:c>
      <x:c r="M21" s="48"/>
      <x:c r="N21" s="48" t="str">
        <x:v>Fail</x:v>
      </x:c>
      <x:c r="O21" s="48" t="str">
        <x:v>Engineer / post-Human fix phase</x:v>
      </x:c>
      <x:c r="P21" s="48" t="str">
        <x:v>The prescribed 640×360 matrix itself was reported correct; the additional &lt;360px observation is outside that exact matrix but the physical-mobile failure is in scope.</x:v>
      </x:c>
    </x:row>
    <x:row r="22" ht="76" customHeight="1">
      <x:c r="A22" s="48" t="str">
        <x:v>HQA-004</x:v>
      </x:c>
      <x:c r="B22" s="48" t="str">
        <x:v>ORB-012</x:v>
      </x:c>
      <x:c r="C22" s="48" t="str">
        <x:v>LIVE</x:v>
      </x:c>
      <x:c r="D22" s="48" t="str">
        <x:v>S2 - Minor</x:v>
      </x:c>
      <x:c r="E22" s="48" t="str">
        <x:v>Open</x:v>
      </x:c>
      <x:c r="F22" s="48" t="str">
        <x:v>Orbit result overlay leaks background gameplay input</x:v>
      </x:c>
      <x:c r="G22" s="48" t="str">
        <x:v>While death/result UI owns interaction, background gameplay/canvas input is blocked until the player chooses an explicit terminal action.</x:v>
      </x:c>
      <x:c r="H22" s="48" t="str">
        <x:v>After death/result UI appears, clicking/tapping the background can still trigger/start gameplay behind the overlay.</x:v>
      </x:c>
      <x:c r="I22" s="48" t="str">
        <x:v>Lose an Orbit run; while the result/death menu is visible, click/tap empty background/game canvas repeatedly before using any result button.</x:v>
      </x:c>
      <x:c r="J22" s="48" t="str">
        <x:v>Human QA observation, 2026-10-07</x:v>
      </x:c>
      <x:c r="K22" s="48" t="str">
        <x:v>S20</x:v>
      </x:c>
      <x:c r="L22" s="48" t="str">
        <x:v>7571df5c5990ba1e7bd55706b8aa16ebc994da8f</x:v>
      </x:c>
      <x:c r="M22" s="48"/>
      <x:c r="N22" s="48" t="str">
        <x:v>Fail</x:v>
      </x:c>
      <x:c r="O22" s="48" t="str">
        <x:v>Engineer / post-Human fix phase</x:v>
      </x:c>
      <x:c r="P22" s="48" t="str">
        <x:v>Disable background gameplay input during terminal/result overlays; collect only, do not fix during Human QA.</x:v>
      </x:c>
    </x:row>
    <x:row r="23" ht="76" customHeight="1">
      <x:c r="A23" s="48" t="str">
        <x:v>HQA-005</x:v>
      </x:c>
      <x:c r="B23" s="48" t="str">
        <x:v>OAD-005; OAD-006</x:v>
      </x:c>
      <x:c r="C23" s="48" t="str">
        <x:v>LOCAL DEV / ORBIT</x:v>
      </x:c>
      <x:c r="D23" s="48" t="str">
        <x:v>S1 - Major</x:v>
      </x:c>
      <x:c r="E23" s="48" t="str">
        <x:v>Open</x:v>
      </x:c>
      <x:c r="F23" s="48" t="str">
        <x:v>Orbit interstitial opportunities are all blocked in human DEV run</x:v>
      </x:c>
      <x:c r="G23" s="48" t="str">
        <x:v>When Orbit PLAY/RESTART reaches an eligible configured interstitial opportunity, the mock request can be accepted/presented according to policy.</x:v>
      </x:c>
      <x:c r="H23" s="48" t="str">
        <x:v>Human exercised Orbit controls but saw no interstitial presentation; Ad DEV counters showed requests=9, accepted=0, blocked=9.</x:v>
      </x:c>
      <x:c r="I23" s="48" t="str">
        <x:v>Fresh qa:dev Orbit session; exercise PLAY/RESTART and the normal action flow; inspect Interstitial counters and block reasons.</x:v>
      </x:c>
      <x:c r="J23" s="48" t="str">
        <x:v>Human QA Ad DEV counters/notes, 2026-10-07</x:v>
      </x:c>
      <x:c r="K23" s="48" t="str">
        <x:v>S20</x:v>
      </x:c>
      <x:c r="L23" s="48" t="str">
        <x:v>7571df5c5990ba1e7bd55706b8aa16ebc994da8f</x:v>
      </x:c>
      <x:c r="M23" s="48"/>
      <x:c r="N23" s="48" t="str">
        <x:v>Fail</x:v>
      </x:c>
      <x:c r="O23" s="48" t="str">
        <x:v>Engineer / post-Human fix phase</x:v>
      </x:c>
      <x:c r="P23" s="48" t="str">
        <x:v>Exact block reason is intentionally undiagnosed during QA. Investigate policy/cooldown/caps/eligibility in the consolidated fix phase.</x:v>
      </x:c>
    </x:row>
    <x:row r="24" ht="76" customHeight="1">
      <x:c r="A24" s="48" t="str">
        <x:v>BUG-016</x:v>
      </x:c>
      <x:c r="B24" s="48" t="str"/>
      <x:c r="C24" s="48" t="str"/>
      <x:c r="D24" s="48" t="str"/>
      <x:c r="E24" s="48" t="str"/>
      <x:c r="F24" s="48" t="str"/>
      <x:c r="G24" s="48" t="str"/>
      <x:c r="H24" s="48" t="str"/>
      <x:c r="I24" s="48" t="str"/>
      <x:c r="J24" s="48" t="str"/>
      <x:c r="K24" s="48" t="str"/>
      <x:c r="L24" s="48" t="str"/>
      <x:c r="M24" s="48" t="str"/>
      <x:c r="N24" s="48" t="str"/>
      <x:c r="O24" s="48" t="str"/>
      <x:c r="P24" s="48" t="str"/>
    </x:row>
    <x:row r="25" ht="76" customHeight="1">
      <x:c r="A25" s="48" t="str">
        <x:v>BUG-017</x:v>
      </x:c>
      <x:c r="B25" s="48" t="str"/>
      <x:c r="C25" s="48" t="str"/>
      <x:c r="D25" s="48" t="str"/>
      <x:c r="E25" s="48" t="str"/>
      <x:c r="F25" s="48" t="str"/>
      <x:c r="G25" s="48" t="str"/>
      <x:c r="H25" s="48" t="str"/>
      <x:c r="I25" s="48" t="str"/>
      <x:c r="J25" s="48" t="str"/>
      <x:c r="K25" s="48" t="str"/>
      <x:c r="L25" s="48" t="str"/>
      <x:c r="M25" s="48" t="str"/>
      <x:c r="N25" s="48" t="str"/>
      <x:c r="O25" s="48" t="str"/>
      <x:c r="P25" s="48" t="str"/>
    </x:row>
    <x:row r="26" ht="76" customHeight="1">
      <x:c r="A26" s="48" t="str">
        <x:v>BUG-018</x:v>
      </x:c>
      <x:c r="B26" s="48" t="str"/>
      <x:c r="C26" s="48" t="str"/>
      <x:c r="D26" s="48" t="str"/>
      <x:c r="E26" s="48" t="str"/>
      <x:c r="F26" s="48" t="str"/>
      <x:c r="G26" s="48" t="str"/>
      <x:c r="H26" s="48" t="str"/>
      <x:c r="I26" s="48" t="str"/>
      <x:c r="J26" s="48" t="str"/>
      <x:c r="K26" s="48" t="str"/>
      <x:c r="L26" s="48" t="str"/>
      <x:c r="M26" s="48" t="str"/>
      <x:c r="N26" s="48" t="str"/>
      <x:c r="O26" s="48" t="str"/>
      <x:c r="P26" s="48" t="str"/>
    </x:row>
    <x:row r="27" ht="76" customHeight="1">
      <x:c r="A27" s="48" t="str">
        <x:v>BUG-019</x:v>
      </x:c>
      <x:c r="B27" s="48" t="str"/>
      <x:c r="C27" s="48" t="str"/>
      <x:c r="D27" s="48" t="str"/>
      <x:c r="E27" s="48" t="str"/>
      <x:c r="F27" s="48" t="str"/>
      <x:c r="G27" s="48" t="str"/>
      <x:c r="H27" s="48" t="str"/>
      <x:c r="I27" s="48" t="str"/>
      <x:c r="J27" s="48" t="str"/>
      <x:c r="K27" s="48" t="str"/>
      <x:c r="L27" s="48" t="str"/>
      <x:c r="M27" s="48" t="str"/>
      <x:c r="N27" s="48" t="str"/>
      <x:c r="O27" s="48" t="str"/>
      <x:c r="P27" s="48" t="str"/>
    </x:row>
    <x:row r="28" ht="76" customHeight="1">
      <x:c r="A28" s="48" t="str">
        <x:v>BUG-020</x:v>
      </x:c>
      <x:c r="B28" s="48" t="str"/>
      <x:c r="C28" s="48" t="str"/>
      <x:c r="D28" s="48" t="str"/>
      <x:c r="E28" s="48" t="str"/>
      <x:c r="F28" s="48" t="str"/>
      <x:c r="G28" s="48" t="str"/>
      <x:c r="H28" s="48" t="str"/>
      <x:c r="I28" s="48" t="str"/>
      <x:c r="J28" s="48" t="str"/>
      <x:c r="K28" s="48" t="str"/>
      <x:c r="L28" s="48" t="str"/>
      <x:c r="M28" s="48" t="str"/>
      <x:c r="N28" s="48" t="str"/>
      <x:c r="O28" s="48" t="str"/>
      <x:c r="P28" s="48" t="str"/>
    </x:row>
    <x:row r="29" ht="76" customHeight="1">
      <x:c r="A29" s="48" t="str">
        <x:v>BUG-021</x:v>
      </x:c>
      <x:c r="B29" s="48" t="str"/>
      <x:c r="C29" s="48" t="str"/>
      <x:c r="D29" s="48" t="str"/>
      <x:c r="E29" s="48" t="str"/>
      <x:c r="F29" s="48" t="str"/>
      <x:c r="G29" s="48" t="str"/>
      <x:c r="H29" s="48" t="str"/>
      <x:c r="I29" s="48" t="str"/>
      <x:c r="J29" s="48" t="str"/>
      <x:c r="K29" s="48" t="str"/>
      <x:c r="L29" s="48" t="str"/>
      <x:c r="M29" s="48" t="str"/>
      <x:c r="N29" s="48" t="str"/>
      <x:c r="O29" s="48" t="str"/>
      <x:c r="P29" s="48" t="str"/>
    </x:row>
    <x:row r="30" ht="76" customHeight="1">
      <x:c r="A30" s="48" t="str">
        <x:v>BUG-022</x:v>
      </x:c>
      <x:c r="B30" s="48" t="str"/>
      <x:c r="C30" s="48" t="str"/>
      <x:c r="D30" s="48" t="str"/>
      <x:c r="E30" s="48" t="str"/>
      <x:c r="F30" s="48" t="str"/>
      <x:c r="G30" s="48" t="str"/>
      <x:c r="H30" s="48" t="str"/>
      <x:c r="I30" s="48" t="str"/>
      <x:c r="J30" s="48" t="str"/>
      <x:c r="K30" s="48" t="str"/>
      <x:c r="L30" s="48" t="str"/>
      <x:c r="M30" s="48" t="str"/>
      <x:c r="N30" s="48" t="str"/>
      <x:c r="O30" s="48" t="str"/>
      <x:c r="P30" s="48" t="str"/>
    </x:row>
    <x:row r="31" ht="76" customHeight="1">
      <x:c r="A31" s="48" t="str">
        <x:v>BUG-023</x:v>
      </x:c>
      <x:c r="B31" s="48" t="str"/>
      <x:c r="C31" s="48" t="str"/>
      <x:c r="D31" s="48" t="str"/>
      <x:c r="E31" s="48" t="str"/>
      <x:c r="F31" s="48" t="str"/>
      <x:c r="G31" s="48" t="str"/>
      <x:c r="H31" s="48" t="str"/>
      <x:c r="I31" s="48" t="str"/>
      <x:c r="J31" s="48" t="str"/>
      <x:c r="K31" s="48" t="str"/>
      <x:c r="L31" s="48" t="str"/>
      <x:c r="M31" s="48" t="str"/>
      <x:c r="N31" s="48" t="str"/>
      <x:c r="O31" s="48" t="str"/>
      <x:c r="P31" s="48" t="str"/>
    </x:row>
    <x:row r="32" ht="76" customHeight="1">
      <x:c r="A32" s="48" t="str">
        <x:v>BUG-024</x:v>
      </x:c>
      <x:c r="B32" s="48" t="str"/>
      <x:c r="C32" s="48" t="str"/>
      <x:c r="D32" s="48" t="str"/>
      <x:c r="E32" s="48" t="str"/>
      <x:c r="F32" s="48" t="str"/>
      <x:c r="G32" s="48" t="str"/>
      <x:c r="H32" s="48" t="str"/>
      <x:c r="I32" s="48" t="str"/>
      <x:c r="J32" s="48" t="str"/>
      <x:c r="K32" s="48" t="str"/>
      <x:c r="L32" s="48" t="str"/>
      <x:c r="M32" s="48" t="str"/>
      <x:c r="N32" s="48" t="str"/>
      <x:c r="O32" s="48" t="str"/>
      <x:c r="P32" s="48" t="str"/>
    </x:row>
    <x:row r="33" ht="76" customHeight="1">
      <x:c r="A33" s="48" t="str">
        <x:v>BUG-025</x:v>
      </x:c>
      <x:c r="B33" s="48" t="str"/>
      <x:c r="C33" s="48" t="str"/>
      <x:c r="D33" s="48" t="str"/>
      <x:c r="E33" s="48" t="str"/>
      <x:c r="F33" s="48" t="str"/>
      <x:c r="G33" s="48" t="str"/>
      <x:c r="H33" s="48" t="str"/>
      <x:c r="I33" s="48" t="str"/>
      <x:c r="J33" s="48" t="str"/>
      <x:c r="K33" s="48" t="str"/>
      <x:c r="L33" s="48" t="str"/>
      <x:c r="M33" s="48" t="str"/>
      <x:c r="N33" s="48" t="str"/>
      <x:c r="O33" s="48" t="str"/>
      <x:c r="P33" s="48" t="str"/>
    </x:row>
    <x:row r="34" ht="76" customHeight="1">
      <x:c r="A34" s="48" t="str">
        <x:v>BUG-026</x:v>
      </x:c>
      <x:c r="B34" s="48" t="str"/>
      <x:c r="C34" s="48" t="str"/>
      <x:c r="D34" s="48" t="str"/>
      <x:c r="E34" s="48" t="str"/>
      <x:c r="F34" s="48" t="str"/>
      <x:c r="G34" s="48" t="str"/>
      <x:c r="H34" s="48" t="str"/>
      <x:c r="I34" s="48" t="str"/>
      <x:c r="J34" s="48" t="str"/>
      <x:c r="K34" s="48" t="str"/>
      <x:c r="L34" s="48" t="str"/>
      <x:c r="M34" s="48" t="str"/>
      <x:c r="N34" s="48" t="str"/>
      <x:c r="O34" s="48" t="str"/>
      <x:c r="P34" s="48" t="str"/>
    </x:row>
    <x:row r="35" ht="76" customHeight="1">
      <x:c r="A35" s="48" t="str">
        <x:v>BUG-027</x:v>
      </x:c>
      <x:c r="B35" s="48" t="str"/>
      <x:c r="C35" s="48" t="str"/>
      <x:c r="D35" s="48" t="str"/>
      <x:c r="E35" s="48" t="str"/>
      <x:c r="F35" s="48" t="str"/>
      <x:c r="G35" s="48" t="str"/>
      <x:c r="H35" s="48" t="str"/>
      <x:c r="I35" s="48" t="str"/>
      <x:c r="J35" s="48" t="str"/>
      <x:c r="K35" s="48" t="str"/>
      <x:c r="L35" s="48" t="str"/>
      <x:c r="M35" s="48" t="str"/>
      <x:c r="N35" s="48" t="str"/>
      <x:c r="O35" s="48" t="str"/>
      <x:c r="P35" s="48" t="str"/>
    </x:row>
    <x:row r="36" ht="76" customHeight="1">
      <x:c r="A36" s="48" t="str">
        <x:v>BUG-028</x:v>
      </x:c>
      <x:c r="B36" s="48" t="str"/>
      <x:c r="C36" s="48" t="str"/>
      <x:c r="D36" s="48" t="str"/>
      <x:c r="E36" s="48" t="str"/>
      <x:c r="F36" s="48" t="str"/>
      <x:c r="G36" s="48" t="str"/>
      <x:c r="H36" s="48" t="str"/>
      <x:c r="I36" s="48" t="str"/>
      <x:c r="J36" s="48" t="str"/>
      <x:c r="K36" s="48" t="str"/>
      <x:c r="L36" s="48" t="str"/>
      <x:c r="M36" s="48" t="str"/>
      <x:c r="N36" s="48" t="str"/>
      <x:c r="O36" s="48" t="str"/>
      <x:c r="P36" s="48" t="str"/>
    </x:row>
    <x:row r="37" ht="76" customHeight="1">
      <x:c r="A37" s="48" t="str">
        <x:v>BUG-029</x:v>
      </x:c>
      <x:c r="B37" s="48" t="str"/>
      <x:c r="C37" s="48" t="str"/>
      <x:c r="D37" s="48" t="str"/>
      <x:c r="E37" s="48" t="str"/>
      <x:c r="F37" s="48" t="str"/>
      <x:c r="G37" s="48" t="str"/>
      <x:c r="H37" s="48" t="str"/>
      <x:c r="I37" s="48" t="str"/>
      <x:c r="J37" s="48" t="str"/>
      <x:c r="K37" s="48" t="str"/>
      <x:c r="L37" s="48" t="str"/>
      <x:c r="M37" s="48" t="str"/>
      <x:c r="N37" s="48" t="str"/>
      <x:c r="O37" s="48" t="str"/>
      <x:c r="P37" s="48" t="str"/>
    </x:row>
    <x:row r="38" ht="76" customHeight="1">
      <x:c r="A38" s="48" t="str">
        <x:v>BUG-030</x:v>
      </x:c>
      <x:c r="B38" s="48" t="str"/>
      <x:c r="C38" s="48" t="str"/>
      <x:c r="D38" s="48" t="str"/>
      <x:c r="E38" s="48" t="str"/>
      <x:c r="F38" s="48" t="str"/>
      <x:c r="G38" s="48" t="str"/>
      <x:c r="H38" s="48" t="str"/>
      <x:c r="I38" s="48" t="str"/>
      <x:c r="J38" s="48" t="str"/>
      <x:c r="K38" s="48" t="str"/>
      <x:c r="L38" s="48" t="str"/>
      <x:c r="M38" s="48" t="str"/>
      <x:c r="N38" s="48" t="str"/>
      <x:c r="O38" s="48" t="str"/>
      <x:c r="P38" s="48" t="str"/>
    </x:row>
    <x:row r="39" ht="76" customHeight="1">
      <x:c r="A39" s="48" t="str">
        <x:v>BUG-031</x:v>
      </x:c>
      <x:c r="B39" s="48" t="str"/>
      <x:c r="C39" s="48" t="str"/>
      <x:c r="D39" s="48" t="str"/>
      <x:c r="E39" s="48" t="str"/>
      <x:c r="F39" s="48" t="str"/>
      <x:c r="G39" s="48" t="str"/>
      <x:c r="H39" s="48" t="str"/>
      <x:c r="I39" s="48" t="str"/>
      <x:c r="J39" s="48" t="str"/>
      <x:c r="K39" s="48" t="str"/>
      <x:c r="L39" s="48" t="str"/>
      <x:c r="M39" s="48" t="str"/>
      <x:c r="N39" s="48" t="str"/>
      <x:c r="O39" s="48" t="str"/>
      <x:c r="P39" s="48" t="str"/>
    </x:row>
    <x:row r="40" ht="76" customHeight="1">
      <x:c r="A40" s="48" t="str">
        <x:v>BUG-032</x:v>
      </x:c>
      <x:c r="B40" s="48" t="str"/>
      <x:c r="C40" s="48" t="str"/>
      <x:c r="D40" s="48" t="str"/>
      <x:c r="E40" s="48" t="str"/>
      <x:c r="F40" s="48" t="str"/>
      <x:c r="G40" s="48" t="str"/>
      <x:c r="H40" s="48" t="str"/>
      <x:c r="I40" s="48" t="str"/>
      <x:c r="J40" s="48" t="str"/>
      <x:c r="K40" s="48" t="str"/>
      <x:c r="L40" s="48" t="str"/>
      <x:c r="M40" s="48" t="str"/>
      <x:c r="N40" s="48" t="str"/>
      <x:c r="O40" s="48" t="str"/>
      <x:c r="P40" s="48" t="str"/>
    </x:row>
    <x:row r="41" ht="76" customHeight="1">
      <x:c r="A41" s="48" t="str">
        <x:v>BUG-033</x:v>
      </x:c>
      <x:c r="B41" s="48" t="str"/>
      <x:c r="C41" s="48" t="str"/>
      <x:c r="D41" s="48" t="str"/>
      <x:c r="E41" s="48" t="str"/>
      <x:c r="F41" s="48" t="str"/>
      <x:c r="G41" s="48" t="str"/>
      <x:c r="H41" s="48" t="str"/>
      <x:c r="I41" s="48" t="str"/>
      <x:c r="J41" s="48" t="str"/>
      <x:c r="K41" s="48" t="str"/>
      <x:c r="L41" s="48" t="str"/>
      <x:c r="M41" s="48" t="str"/>
      <x:c r="N41" s="48" t="str"/>
      <x:c r="O41" s="48" t="str"/>
      <x:c r="P41" s="48" t="str"/>
    </x:row>
    <x:row r="42" ht="76" customHeight="1">
      <x:c r="A42" s="48" t="str">
        <x:v>BUG-034</x:v>
      </x:c>
      <x:c r="B42" s="48" t="str"/>
      <x:c r="C42" s="48" t="str"/>
      <x:c r="D42" s="48" t="str"/>
      <x:c r="E42" s="48" t="str"/>
      <x:c r="F42" s="48" t="str"/>
      <x:c r="G42" s="48" t="str"/>
      <x:c r="H42" s="48" t="str"/>
      <x:c r="I42" s="48" t="str"/>
      <x:c r="J42" s="48" t="str"/>
      <x:c r="K42" s="48" t="str"/>
      <x:c r="L42" s="48" t="str"/>
      <x:c r="M42" s="48" t="str"/>
      <x:c r="N42" s="48" t="str"/>
      <x:c r="O42" s="48" t="str"/>
      <x:c r="P42" s="48" t="str"/>
    </x:row>
    <x:row r="43" ht="76" customHeight="1">
      <x:c r="A43" s="48" t="str">
        <x:v>BUG-035</x:v>
      </x:c>
      <x:c r="B43" s="48" t="str"/>
      <x:c r="C43" s="48" t="str"/>
      <x:c r="D43" s="48" t="str"/>
      <x:c r="E43" s="48" t="str"/>
      <x:c r="F43" s="48" t="str"/>
      <x:c r="G43" s="48" t="str"/>
      <x:c r="H43" s="48" t="str"/>
      <x:c r="I43" s="48" t="str"/>
      <x:c r="J43" s="48" t="str"/>
      <x:c r="K43" s="48" t="str"/>
      <x:c r="L43" s="48" t="str"/>
      <x:c r="M43" s="48" t="str"/>
      <x:c r="N43" s="48" t="str"/>
      <x:c r="O43" s="48" t="str"/>
      <x:c r="P43" s="48" t="str"/>
    </x:row>
    <x:row r="44" ht="76" customHeight="1">
      <x:c r="A44" s="48" t="str">
        <x:v>BUG-036</x:v>
      </x:c>
      <x:c r="B44" s="48" t="str"/>
      <x:c r="C44" s="48" t="str"/>
      <x:c r="D44" s="48" t="str"/>
      <x:c r="E44" s="48" t="str"/>
      <x:c r="F44" s="48" t="str"/>
      <x:c r="G44" s="48" t="str"/>
      <x:c r="H44" s="48" t="str"/>
      <x:c r="I44" s="48" t="str"/>
      <x:c r="J44" s="48" t="str"/>
      <x:c r="K44" s="48" t="str"/>
      <x:c r="L44" s="48" t="str"/>
      <x:c r="M44" s="48" t="str"/>
      <x:c r="N44" s="48" t="str"/>
      <x:c r="O44" s="48" t="str"/>
      <x:c r="P44" s="48" t="str"/>
    </x:row>
    <x:row r="45" ht="76" customHeight="1">
      <x:c r="A45" s="48" t="str">
        <x:v>BUG-037</x:v>
      </x:c>
      <x:c r="B45" s="48" t="str"/>
      <x:c r="C45" s="48" t="str"/>
      <x:c r="D45" s="48" t="str"/>
      <x:c r="E45" s="48" t="str"/>
      <x:c r="F45" s="48" t="str"/>
      <x:c r="G45" s="48" t="str"/>
      <x:c r="H45" s="48" t="str"/>
      <x:c r="I45" s="48" t="str"/>
      <x:c r="J45" s="48" t="str"/>
      <x:c r="K45" s="48" t="str"/>
      <x:c r="L45" s="48" t="str"/>
      <x:c r="M45" s="48" t="str"/>
      <x:c r="N45" s="48" t="str"/>
      <x:c r="O45" s="48" t="str"/>
      <x:c r="P45" s="48" t="str"/>
    </x:row>
    <x:row r="46" ht="76" customHeight="1">
      <x:c r="A46" s="48" t="str">
        <x:v>BUG-038</x:v>
      </x:c>
      <x:c r="B46" s="48" t="str"/>
      <x:c r="C46" s="48" t="str"/>
      <x:c r="D46" s="48" t="str"/>
      <x:c r="E46" s="48" t="str"/>
      <x:c r="F46" s="48" t="str"/>
      <x:c r="G46" s="48" t="str"/>
      <x:c r="H46" s="48" t="str"/>
      <x:c r="I46" s="48" t="str"/>
      <x:c r="J46" s="48" t="str"/>
      <x:c r="K46" s="48" t="str"/>
      <x:c r="L46" s="48" t="str"/>
      <x:c r="M46" s="48" t="str"/>
      <x:c r="N46" s="48" t="str"/>
      <x:c r="O46" s="48" t="str"/>
      <x:c r="P46" s="48" t="str"/>
    </x:row>
    <x:row r="47" ht="76" customHeight="1">
      <x:c r="A47" s="48" t="str">
        <x:v>BUG-039</x:v>
      </x:c>
      <x:c r="B47" s="48" t="str"/>
      <x:c r="C47" s="48" t="str"/>
      <x:c r="D47" s="48" t="str"/>
      <x:c r="E47" s="48" t="str"/>
      <x:c r="F47" s="48" t="str"/>
      <x:c r="G47" s="48" t="str"/>
      <x:c r="H47" s="48" t="str"/>
      <x:c r="I47" s="48" t="str"/>
      <x:c r="J47" s="48" t="str"/>
      <x:c r="K47" s="48" t="str"/>
      <x:c r="L47" s="48" t="str"/>
      <x:c r="M47" s="48" t="str"/>
      <x:c r="N47" s="48" t="str"/>
      <x:c r="O47" s="48" t="str"/>
      <x:c r="P47" s="48" t="str"/>
    </x:row>
    <x:row r="48" ht="76" customHeight="1">
      <x:c r="A48" s="48" t="str">
        <x:v>BUG-040</x:v>
      </x:c>
      <x:c r="B48" s="48" t="str"/>
      <x:c r="C48" s="48" t="str"/>
      <x:c r="D48" s="48" t="str"/>
      <x:c r="E48" s="48" t="str"/>
      <x:c r="F48" s="48" t="str"/>
      <x:c r="G48" s="48" t="str"/>
      <x:c r="H48" s="48" t="str"/>
      <x:c r="I48" s="48" t="str"/>
      <x:c r="J48" s="48" t="str"/>
      <x:c r="K48" s="48" t="str"/>
      <x:c r="L48" s="48" t="str"/>
      <x:c r="M48" s="48" t="str"/>
      <x:c r="N48" s="48" t="str"/>
      <x:c r="O48" s="48" t="str"/>
      <x:c r="P48" s="48" t="str"/>
    </x:row>
    <x:row r="49" ht="22" customHeight="1">
      <x:c r="A49" s="63"/>
      <x:c r="B49" s="63"/>
      <x:c r="C49" s="63"/>
      <x:c r="D49" s="63"/>
      <x:c r="E49" s="63"/>
      <x:c r="F49" s="63"/>
      <x:c r="G49" s="63"/>
      <x:c r="H49" s="63"/>
      <x:c r="I49" s="63"/>
      <x:c r="J49" s="63"/>
      <x:c r="K49" s="63"/>
      <x:c r="L49" s="63"/>
      <x:c r="M49" s="63"/>
      <x:c r="N49" s="63"/>
      <x:c r="O49" s="63"/>
      <x:c r="P49" s="63"/>
    </x:row>
    <x:row r="50" ht="22" customHeight="1">
      <x:c r="A50" s="63"/>
      <x:c r="B50" s="63"/>
      <x:c r="C50" s="63"/>
      <x:c r="D50" s="63"/>
      <x:c r="E50" s="63"/>
      <x:c r="F50" s="63"/>
      <x:c r="G50" s="63"/>
      <x:c r="H50" s="63"/>
      <x:c r="I50" s="63"/>
      <x:c r="J50" s="63"/>
      <x:c r="K50" s="63"/>
      <x:c r="L50" s="63"/>
      <x:c r="M50" s="63"/>
      <x:c r="N50" s="63"/>
      <x:c r="O50" s="63"/>
      <x:c r="P50" s="63"/>
    </x:row>
    <x:row r="51" ht="22" customHeight="1">
      <x:c r="A51" s="63"/>
      <x:c r="B51" s="63"/>
      <x:c r="C51" s="63"/>
      <x:c r="D51" s="63"/>
      <x:c r="E51" s="63"/>
      <x:c r="F51" s="63"/>
      <x:c r="G51" s="63"/>
      <x:c r="H51" s="63"/>
      <x:c r="I51" s="63"/>
      <x:c r="J51" s="63"/>
      <x:c r="K51" s="63"/>
      <x:c r="L51" s="63"/>
      <x:c r="M51" s="63"/>
      <x:c r="N51" s="63"/>
      <x:c r="O51" s="63"/>
      <x:c r="P51" s="63"/>
    </x:row>
    <x:row r="52" ht="22" customHeight="1">
      <x:c r="A52" s="63"/>
      <x:c r="B52" s="63"/>
      <x:c r="C52" s="63"/>
      <x:c r="D52" s="63"/>
      <x:c r="E52" s="63"/>
      <x:c r="F52" s="63"/>
      <x:c r="G52" s="63"/>
      <x:c r="H52" s="63"/>
      <x:c r="I52" s="63"/>
      <x:c r="J52" s="63"/>
      <x:c r="K52" s="63"/>
      <x:c r="L52" s="63"/>
      <x:c r="M52" s="63"/>
      <x:c r="N52" s="63"/>
      <x:c r="O52" s="63"/>
      <x:c r="P52" s="63"/>
    </x:row>
    <x:row r="53" ht="22" customHeight="1">
      <x:c r="A53" s="63"/>
      <x:c r="B53" s="63"/>
      <x:c r="C53" s="63"/>
      <x:c r="D53" s="63"/>
      <x:c r="E53" s="63"/>
      <x:c r="F53" s="63"/>
      <x:c r="G53" s="63"/>
      <x:c r="H53" s="63"/>
      <x:c r="I53" s="63"/>
      <x:c r="J53" s="63"/>
      <x:c r="K53" s="63"/>
      <x:c r="L53" s="63"/>
      <x:c r="M53" s="63"/>
      <x:c r="N53" s="63"/>
      <x:c r="O53" s="63"/>
      <x:c r="P53" s="63"/>
    </x:row>
    <x:row r="54" ht="22" customHeight="1">
      <x:c r="A54" s="63"/>
      <x:c r="B54" s="63"/>
      <x:c r="C54" s="63"/>
      <x:c r="D54" s="63"/>
      <x:c r="E54" s="63"/>
      <x:c r="F54" s="63"/>
      <x:c r="G54" s="63"/>
      <x:c r="H54" s="63"/>
      <x:c r="I54" s="63"/>
      <x:c r="J54" s="63"/>
      <x:c r="K54" s="63"/>
      <x:c r="L54" s="63"/>
      <x:c r="M54" s="63"/>
      <x:c r="N54" s="63"/>
      <x:c r="O54" s="63"/>
      <x:c r="P54" s="63"/>
    </x:row>
    <x:row r="55" ht="22" customHeight="1">
      <x:c r="A55" s="63"/>
      <x:c r="B55" s="63"/>
      <x:c r="C55" s="63"/>
      <x:c r="D55" s="63"/>
      <x:c r="E55" s="63"/>
      <x:c r="F55" s="63"/>
      <x:c r="G55" s="63"/>
      <x:c r="H55" s="63"/>
      <x:c r="I55" s="63"/>
      <x:c r="J55" s="63"/>
      <x:c r="K55" s="63"/>
      <x:c r="L55" s="63"/>
      <x:c r="M55" s="63"/>
      <x:c r="N55" s="63"/>
      <x:c r="O55" s="63"/>
      <x:c r="P55" s="63"/>
    </x:row>
  </x:sheetData>
  <x:mergeCells>
    <x:mergeCell ref="A1:P2"/>
    <x:mergeCell ref="A3:P3"/>
    <x:mergeCell ref="A5:P6"/>
  </x:mergeCells>
  <x:conditionalFormatting sqref="D9:D48">
    <x:cfRule type="expression" dxfId="80" priority="1">
      <x:formula>OR($D9="S0 - Blocker",$D9="S1 - Major")</x:formula>
    </x:cfRule>
  </x:conditionalFormatting>
  <x:dataValidations count="4">
    <x:dataValidation type="list" sqref="C9:C48">
      <x:formula1>"LIVE,LOCAL DEV,LOCAL PROD,LOCAL / TERMINAL,LIVE + LOCAL,ALL"</x:formula1>
    </x:dataValidation>
    <x:dataValidation type="list" sqref="D9:D48">
      <x:formula1>"S0 - Blocker,S1 - Major,S2 - Minor,S3 - Polish"</x:formula1>
    </x:dataValidation>
    <x:dataValidation type="list" sqref="E9:E48">
      <x:formula1>"Open,In progress,Ready for retest,Closed,Deferred,Duplicate"</x:formula1>
    </x:dataValidation>
    <x:dataValidation type="list" sqref="N9:N48">
      <x:formula1>"Not retested,Pass,Fail,Blocked"</x:formula1>
    </x:dataValidation>
  </x:dataValidations>
  <x:pageMargins left="0.7" right="0.7" top="0.75" bottom="0.75" header="0.3" footer="0.3"/>
  <x:tableParts count="1">
    <x:tablePart xmlns:r="http://schemas.openxmlformats.org/officeDocument/2006/relationships" r:id="R81634d57a6ba4270"/>
  </x:tableParts>
</x:worksheet>
</file>

<file path=xl/worksheets/sheet1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22" customHeight="1">
      <x:c r="A1" s="66" t="str">
        <x:v>PRODUCT QA SIGN-OFF</x:v>
      </x:c>
      <x:c r="B1" s="66"/>
      <x:c r="C1" s="66"/>
      <x:c r="D1" s="66"/>
      <x:c r="E1" s="66"/>
      <x:c r="F1" s="66"/>
      <x:c r="G1" s="66"/>
      <x:c r="H1" s="66"/>
    </x:row>
    <x:row r="2" ht="22" customHeight="1">
      <x:c r="A2" s="66"/>
      <x:c r="B2" s="66"/>
      <x:c r="C2" s="66"/>
      <x:c r="D2" s="66"/>
      <x:c r="E2" s="66"/>
      <x:c r="F2" s="66"/>
      <x:c r="G2" s="66"/>
      <x:c r="H2" s="66"/>
    </x:row>
    <x:row r="3" ht="27" customHeight="1">
      <x:c r="A3" s="69" t="str">
        <x:v>Finish product verification first. This is not an ad-network approval or legal-compliance certificate.</x:v>
      </x:c>
      <x:c r="B3" s="69"/>
      <x:c r="C3" s="69"/>
      <x:c r="D3" s="69"/>
      <x:c r="E3" s="69"/>
      <x:c r="F3" s="69"/>
      <x:c r="G3" s="69"/>
      <x:c r="H3" s="69"/>
    </x:row>
    <x:row r="4" ht="22" customHeight="1">
      <x:c r="A4" s="63"/>
      <x:c r="B4" s="63"/>
      <x:c r="C4" s="63"/>
      <x:c r="D4" s="63"/>
      <x:c r="E4" s="63"/>
      <x:c r="F4" s="63"/>
      <x:c r="G4" s="63"/>
      <x:c r="H4" s="63"/>
    </x:row>
    <x:row r="5" ht="22" customHeight="1">
      <x:c r="A5" s="236" t="str">
        <x:f>Dashboard!A27</x:f>
        <x:v>HUMAN QA COMPLETE — READY FOR FIX PHASE</x:v>
      </x:c>
      <x:c r="B5" s="236"/>
      <x:c r="C5" s="236"/>
      <x:c r="D5" s="236"/>
      <x:c r="E5" s="236"/>
      <x:c r="F5" s="236"/>
      <x:c r="G5" s="236"/>
      <x:c r="H5" s="236"/>
    </x:row>
    <x:row r="6" ht="22" customHeight="1">
      <x:c r="A6" s="236"/>
      <x:c r="B6" s="236"/>
      <x:c r="C6" s="236"/>
      <x:c r="D6" s="236"/>
      <x:c r="E6" s="236"/>
      <x:c r="F6" s="236"/>
      <x:c r="G6" s="236"/>
      <x:c r="H6" s="236"/>
    </x:row>
    <x:row r="7" ht="22" customHeight="1">
      <x:c r="A7" s="63"/>
      <x:c r="B7" s="63"/>
      <x:c r="C7" s="63"/>
      <x:c r="D7" s="63"/>
      <x:c r="E7" s="63"/>
      <x:c r="F7" s="63"/>
      <x:c r="G7" s="63"/>
      <x:c r="H7" s="63"/>
    </x:row>
    <x:row r="8" ht="22" customHeight="1">
      <x:c r="A8" s="63"/>
      <x:c r="B8" s="63"/>
      <x:c r="C8" s="63"/>
      <x:c r="D8" s="63"/>
      <x:c r="E8" s="63"/>
      <x:c r="F8" s="63"/>
      <x:c r="G8" s="63"/>
      <x:c r="H8" s="63"/>
    </x:row>
    <x:row r="9" ht="28" customHeight="1">
      <x:c r="A9" s="105" t="str">
        <x:v>HUMAN RELEASE CHECK</x:v>
      </x:c>
      <x:c r="B9" s="105"/>
      <x:c r="C9" s="105"/>
      <x:c r="D9" s="105" t="str">
        <x:v>DECISION</x:v>
      </x:c>
      <x:c r="E9" s="105"/>
      <x:c r="F9" s="105" t="str">
        <x:v>NOTES / EVIDENCE</x:v>
      </x:c>
      <x:c r="G9" s="105"/>
      <x:c r="H9" s="105"/>
    </x:row>
    <x:row r="10" ht="42" customHeight="1">
      <x:c r="A10" s="220" t="str">
        <x:v>Actual deployed and local commits/origins recorded</x:v>
      </x:c>
      <x:c r="B10" s="220"/>
      <x:c r="C10" s="220"/>
      <x:c r="D10" s="242" t="str">
        <x:v>Confirmed</x:v>
      </x:c>
      <x:c r="E10" s="242"/>
      <x:c r="F10" s="242" t="str">
        <x:v>Final Human QA completed against the final handoff baseline; Sessions S20/S21 record human environments.</x:v>
      </x:c>
      <x:c r="G10" s="242"/>
      <x:c r="H10" s="242"/>
    </x:row>
    <x:row r="11" ht="42" customHeight="1">
      <x:c r="A11" s="220" t="str">
        <x:v>All P0/P1 cases resolved with valid evidence</x:v>
      </x:c>
      <x:c r="B11" s="220"/>
      <x:c r="C11" s="220"/>
      <x:c r="D11" s="242" t="str">
        <x:v>Confirmed</x:v>
      </x:c>
      <x:c r="E11" s="242"/>
      <x:c r="F11" s="242" t="str">
        <x:v>All 332 rows are now resolved as Pass, Fail or N/A; 0 Blocked / 0 Pending.</x:v>
      </x:c>
      <x:c r="G11" s="242"/>
      <x:c r="H11" s="242"/>
    </x:row>
    <x:row r="12" ht="42" customHeight="1">
      <x:c r="A12" s="220" t="str">
        <x:v>All N/A exceptions explicitly justified</x:v>
      </x:c>
      <x:c r="B12" s="220"/>
      <x:c r="C12" s="220"/>
      <x:c r="D12" s="242" t="str">
        <x:v>Confirmed</x:v>
      </x:c>
      <x:c r="E12" s="242"/>
      <x:c r="F12" s="242" t="str">
        <x:v>N/A is explicitly limited to audio-owned cases and unavailable iPhone/iPad coverage, approved by Hristo on 2026-10-07.</x:v>
      </x:c>
      <x:c r="G12" s="242"/>
      <x:c r="H12" s="242"/>
    </x:row>
    <x:row r="13" ht="42" customHeight="1">
      <x:c r="A13" s="220" t="str">
        <x:v>Required physical-device/keyboard/audio QA reviewed</x:v>
      </x:c>
      <x:c r="B13" s="220"/>
      <x:c r="C13" s="220"/>
      <x:c r="D13" s="242" t="str">
        <x:v>Confirmed</x:v>
      </x:c>
      <x:c r="E13" s="242"/>
      <x:c r="F13" s="242" t="str">
        <x:v>Desktop/Android/keyboard/reduced-motion coverage reviewed; iOS and final-audio certification are explicit N/A exceptions.</x:v>
      </x:c>
      <x:c r="G13" s="242"/>
      <x:c r="H13" s="242"/>
    </x:row>
    <x:row r="14" ht="42" customHeight="1">
      <x:c r="A14" s="220" t="str">
        <x:v>Open S0/S1 bugs fixed and passing retest</x:v>
      </x:c>
      <x:c r="B14" s="220"/>
      <x:c r="C14" s="220"/>
      <x:c r="D14" s="242" t="str">
        <x:v>Pending</x:v>
      </x:c>
      <x:c r="E14" s="242"/>
      <x:c r="F14" s="242" t="str">
        <x:v>Do not sign off yet: consolidated fix phase and targeted retest remain for FAI-001, HQA-001..005 and related V2-004.</x:v>
      </x:c>
      <x:c r="G14" s="242"/>
      <x:c r="H14" s="242"/>
    </x:row>
    <x:row r="15" ht="42" customHeight="1">
      <x:c r="A15" s="220" t="str">
        <x:v>DEV vs production separation verified in both games</x:v>
      </x:c>
      <x:c r="B15" s="220"/>
      <x:c r="C15" s="220"/>
      <x:c r="D15" s="242" t="str">
        <x:v>Confirmed</x:v>
      </x:c>
      <x:c r="E15" s="242"/>
      <x:c r="F15" s="242" t="str">
        <x:v>DEV/production separation evidence retained from AI phase and final human journey completion.</x:v>
      </x:c>
      <x:c r="G15" s="242"/>
      <x:c r="H15" s="242"/>
    </x:row>
    <x:row r="16" ht="42" customHeight="1">
      <x:c r="A16" s="220" t="str">
        <x:v>Optional polish and deferred compliance items recorded</x:v>
      </x:c>
      <x:c r="B16" s="220"/>
      <x:c r="C16" s="220"/>
      <x:c r="D16" s="242" t="str">
        <x:v>Confirmed</x:v>
      </x:c>
      <x:c r="E16" s="242"/>
      <x:c r="F16" s="242" t="str">
        <x:v>Polish/backlog notes retained in WEB-023, ORB-028, REA-026 and DEV-059; legal/provider phase remains deferred.</x:v>
      </x:c>
      <x:c r="G16" s="242"/>
      <x:c r="H16" s="242"/>
    </x:row>
    <x:row r="17" ht="22" customHeight="1">
      <x:c r="A17" s="63"/>
      <x:c r="B17" s="63"/>
      <x:c r="C17" s="63"/>
      <x:c r="D17" s="63"/>
      <x:c r="E17" s="63"/>
      <x:c r="F17" s="63"/>
      <x:c r="G17" s="63"/>
      <x:c r="H17" s="63"/>
    </x:row>
    <x:row r="18" ht="22" customHeight="1">
      <x:c r="A18" s="83" t="str">
        <x:v>OWNER DECISION</x:v>
      </x:c>
      <x:c r="B18" s="83"/>
      <x:c r="C18" s="83"/>
      <x:c r="D18" s="83"/>
      <x:c r="E18" s="83"/>
      <x:c r="F18" s="83"/>
      <x:c r="G18" s="83"/>
      <x:c r="H18" s="83"/>
    </x:row>
    <x:row r="19" ht="22" customHeight="1">
      <x:c r="A19" s="63"/>
      <x:c r="B19" s="63"/>
      <x:c r="C19" s="63"/>
      <x:c r="D19" s="63"/>
      <x:c r="E19" s="63"/>
      <x:c r="F19" s="63"/>
      <x:c r="G19" s="63"/>
      <x:c r="H19" s="63"/>
    </x:row>
    <x:row r="20" ht="22" customHeight="1">
      <x:c r="A20" s="248" t="str">
        <x:v>Product approval</x:v>
      </x:c>
      <x:c r="B20" s="248"/>
      <x:c r="C20" s="254" t="str">
        <x:v>Pending</x:v>
      </x:c>
      <x:c r="D20" s="254"/>
      <x:c r="E20" s="254"/>
      <x:c r="F20" s="63"/>
      <x:c r="G20" s="63"/>
      <x:c r="H20" s="63"/>
    </x:row>
    <x:row r="21" ht="22" customHeight="1">
      <x:c r="A21" s="63"/>
      <x:c r="B21" s="63"/>
      <x:c r="C21" s="63"/>
      <x:c r="D21" s="63"/>
      <x:c r="E21" s="63"/>
      <x:c r="F21" s="63"/>
      <x:c r="G21" s="63"/>
      <x:c r="H21" s="63"/>
    </x:row>
    <x:row r="22" ht="22" customHeight="1">
      <x:c r="A22" s="248" t="str">
        <x:v>Approved by</x:v>
      </x:c>
      <x:c r="B22" s="248"/>
      <x:c r="C22" s="254" t="str"/>
      <x:c r="D22" s="254"/>
      <x:c r="E22" s="254"/>
      <x:c r="F22" s="254"/>
      <x:c r="G22" s="254"/>
      <x:c r="H22" s="254"/>
    </x:row>
    <x:row r="23" ht="22" customHeight="1">
      <x:c r="A23" s="63"/>
      <x:c r="B23" s="63"/>
      <x:c r="C23" s="63"/>
      <x:c r="D23" s="63"/>
      <x:c r="E23" s="63"/>
      <x:c r="F23" s="63"/>
      <x:c r="G23" s="63"/>
      <x:c r="H23" s="63"/>
    </x:row>
    <x:row r="24" ht="22" customHeight="1">
      <x:c r="A24" s="248" t="str">
        <x:v>Date</x:v>
      </x:c>
      <x:c r="B24" s="248"/>
      <x:c r="C24" s="258" t="str"/>
      <x:c r="D24" s="254"/>
      <x:c r="E24" s="254"/>
      <x:c r="F24" s="63"/>
      <x:c r="G24" s="63"/>
      <x:c r="H24" s="63"/>
    </x:row>
    <x:row r="25" ht="22" customHeight="1">
      <x:c r="A25" s="63"/>
      <x:c r="B25" s="63"/>
      <x:c r="C25" s="63"/>
      <x:c r="D25" s="63"/>
      <x:c r="E25" s="63"/>
      <x:c r="F25" s="63"/>
      <x:c r="G25" s="63"/>
      <x:c r="H25" s="63"/>
    </x:row>
    <x:row r="26" ht="22" customHeight="1">
      <x:c r="A26" s="262" t="str">
        <x:f>IF(AND(Dashboard!I23=0,Dashboard!H6=0,Dashboard!J23=0,Dashboard!H25=0,COUNTIF(D10:D16,"Confirmed")=7,C20="Approved",C22&lt;&gt;"",C24&lt;&gt;""),"PRODUCT QA APPROVED — COMPLIANCE PHASE NEXT","NOT SIGNED OFF — complete QA, evidence and owner decision")</x:f>
        <x:v>NOT SIGNED OFF — complete QA, evidence and owner decision</x:v>
      </x:c>
      <x:c r="B26" s="262"/>
      <x:c r="C26" s="262"/>
      <x:c r="D26" s="262"/>
      <x:c r="E26" s="262"/>
      <x:c r="F26" s="262"/>
      <x:c r="G26" s="262"/>
      <x:c r="H26" s="262"/>
    </x:row>
    <x:row r="27" ht="22" customHeight="1">
      <x:c r="A27" s="262"/>
      <x:c r="B27" s="262"/>
      <x:c r="C27" s="262"/>
      <x:c r="D27" s="262"/>
      <x:c r="E27" s="262"/>
      <x:c r="F27" s="262"/>
      <x:c r="G27" s="262"/>
      <x:c r="H27" s="262"/>
    </x:row>
    <x:row r="28" ht="22" customHeight="1">
      <x:c r="A28" s="262"/>
      <x:c r="B28" s="262"/>
      <x:c r="C28" s="262"/>
      <x:c r="D28" s="262"/>
      <x:c r="E28" s="262"/>
      <x:c r="F28" s="262"/>
      <x:c r="G28" s="262"/>
      <x:c r="H28" s="262"/>
    </x:row>
    <x:row r="29" ht="22" customHeight="1">
      <x:c r="A29" s="63"/>
      <x:c r="B29" s="63"/>
      <x:c r="C29" s="63"/>
      <x:c r="D29" s="63"/>
      <x:c r="E29" s="63"/>
      <x:c r="F29" s="63"/>
      <x:c r="G29" s="63"/>
      <x:c r="H29" s="63"/>
    </x:row>
    <x:row r="30" ht="22" customHeight="1">
      <x:c r="A30" s="268" t="str">
        <x:v>DEFERRED NEXT PHASE — DO NOT MARK THESE AS CURRENTLY APPROVED</x:v>
      </x:c>
      <x:c r="B30" s="268"/>
      <x:c r="C30" s="268"/>
      <x:c r="D30" s="268"/>
      <x:c r="E30" s="268"/>
      <x:c r="F30" s="268"/>
      <x:c r="G30" s="268"/>
      <x:c r="H30" s="268"/>
    </x:row>
    <x:row r="31" ht="22" customHeight="1">
      <x:c r="A31" s="63"/>
      <x:c r="B31" s="63"/>
      <x:c r="C31" s="63"/>
      <x:c r="D31" s="63"/>
      <x:c r="E31" s="63"/>
      <x:c r="F31" s="63"/>
      <x:c r="G31" s="63"/>
      <x:c r="H31" s="63"/>
    </x:row>
    <x:row r="32" ht="48" customHeight="1">
      <x:c r="A32" s="274" t="str">
        <x:v>Legal/privacy/consent</x:v>
      </x:c>
      <x:c r="B32" s="274"/>
      <x:c r="C32" s="274"/>
      <x:c r="D32" s="99" t="str">
        <x:v>Privacy/Terms/cookie disclosures and required consent architecture are not implemented or certified by this workbook.</x:v>
      </x:c>
      <x:c r="E32" s="99"/>
      <x:c r="F32" s="99"/>
      <x:c r="G32" s="99"/>
      <x:c r="H32" s="99"/>
    </x:row>
    <x:row r="33" ht="48" customHeight="1">
      <x:c r="A33" s="274" t="str">
        <x:v>Real ad-provider setup</x:v>
      </x:c>
      <x:c r="B33" s="274"/>
      <x:c r="C33" s="274"/>
      <x:c r="D33" s="99" t="str">
        <x:v>AdSense/H5/other providers, IDs/SDKs/ads.txt and actual inventory/reward requirements need their own current research and decisions.</x:v>
      </x:c>
      <x:c r="E33" s="99"/>
      <x:c r="F33" s="99"/>
      <x:c r="G33" s="99"/>
      <x:c r="H33" s="99"/>
    </x:row>
    <x:row r="34" ht="48" customHeight="1">
      <x:c r="A34" s="274" t="str">
        <x:v>Contact details</x:v>
      </x:c>
      <x:c r="B34" s="274"/>
      <x:c r="C34" s="274"/>
      <x:c r="D34" s="99" t="str">
        <x:v>Approve a genuine public contact channel; current Contact page does not imply one was supplied.</x:v>
      </x:c>
      <x:c r="E34" s="99"/>
      <x:c r="F34" s="99"/>
      <x:c r="G34" s="99"/>
      <x:c r="H34" s="99"/>
    </x:row>
    <x:row r="35" ht="48" customHeight="1">
      <x:c r="A35" s="274" t="str">
        <x:v>Real analytics/backend</x:v>
      </x:c>
      <x:c r="B35" s="274"/>
      <x:c r="C35" s="274"/>
      <x:c r="D35" s="99" t="str">
        <x:v>No global traffic/revenue/admin backend exists; local diagnostic counters are not business analytics.</x:v>
      </x:c>
      <x:c r="E35" s="99"/>
      <x:c r="F35" s="99"/>
      <x:c r="G35" s="99"/>
      <x:c r="H35" s="99"/>
    </x:row>
    <x:row r="36" ht="48" customHeight="1">
      <x:c r="A36" s="274" t="str">
        <x:v>Final post-integration review</x:v>
      </x:c>
      <x:c r="B36" s="274"/>
      <x:c r="C36" s="274"/>
      <x:c r="D36" s="99" t="str">
        <x:v>After the serious phase, perform a separate final production/provider check before submission.</x:v>
      </x:c>
      <x:c r="E36" s="99"/>
      <x:c r="F36" s="99"/>
      <x:c r="G36" s="99"/>
      <x:c r="H36" s="99"/>
    </x:row>
    <x:row r="37" ht="22" customHeight="1">
      <x:c r="A37" s="63"/>
      <x:c r="B37" s="63"/>
      <x:c r="C37" s="63"/>
      <x:c r="D37" s="63"/>
      <x:c r="E37" s="63"/>
      <x:c r="F37" s="63"/>
      <x:c r="G37" s="63"/>
      <x:c r="H37" s="63"/>
    </x:row>
    <x:row r="38" ht="22" customHeight="1">
      <x:c r="A38" s="63"/>
      <x:c r="B38" s="63"/>
      <x:c r="C38" s="63"/>
      <x:c r="D38" s="63"/>
      <x:c r="E38" s="63"/>
      <x:c r="F38" s="63"/>
      <x:c r="G38" s="63"/>
      <x:c r="H38" s="63"/>
    </x:row>
    <x:row r="39" ht="22" customHeight="1">
      <x:c r="A39" s="166" t="str">
        <x:v>Known console issue: source-less MutationObserver.observe error still needs attribution if reproduced. Do not automatically label it harmless; use a normal clean browser, capture the stack/source and record Fail or Blocked as appropriate. Deployment and automated tests are not a substitute for that observation.</x:v>
      </x:c>
      <x:c r="B39" s="166"/>
      <x:c r="C39" s="166"/>
      <x:c r="D39" s="166"/>
      <x:c r="E39" s="166"/>
      <x:c r="F39" s="166" t="str">
        <x:v>Final Human QA reports no additional application-breaking console/network issue. If the historical source-less MutationObserver message reappears during post-fix retest, capture source/stack and investigate rather than auto-waiving it.</x:v>
      </x:c>
      <x:c r="G39" s="166"/>
      <x:c r="H39" s="166"/>
    </x:row>
    <x:row r="40" ht="22" customHeight="1">
      <x:c r="A40" s="166"/>
      <x:c r="B40" s="166"/>
      <x:c r="C40" s="166"/>
      <x:c r="D40" s="166"/>
      <x:c r="E40" s="166"/>
      <x:c r="F40" s="166"/>
      <x:c r="G40" s="166"/>
      <x:c r="H40" s="166"/>
    </x:row>
    <x:row r="41" ht="22" customHeight="1">
      <x:c r="A41" s="166"/>
      <x:c r="B41" s="166"/>
      <x:c r="C41" s="166"/>
      <x:c r="D41" s="166"/>
      <x:c r="E41" s="166"/>
      <x:c r="F41" s="166"/>
      <x:c r="G41" s="166"/>
      <x:c r="H41" s="166"/>
    </x:row>
    <x:row r="42" ht="22" customHeight="1">
      <x:c r="A42" s="166"/>
      <x:c r="B42" s="166"/>
      <x:c r="C42" s="166"/>
      <x:c r="D42" s="166"/>
      <x:c r="E42" s="166"/>
      <x:c r="F42" s="166"/>
      <x:c r="G42" s="166"/>
      <x:c r="H42" s="166"/>
    </x:row>
    <x:row r="43" ht="22" customHeight="1">
      <x:c r="A43" s="63"/>
      <x:c r="B43" s="63"/>
      <x:c r="C43" s="63"/>
      <x:c r="D43" s="63"/>
      <x:c r="E43" s="63"/>
      <x:c r="F43" s="63"/>
      <x:c r="G43" s="63"/>
      <x:c r="H43" s="63"/>
    </x:row>
    <x:row r="44" ht="22" customHeight="1">
      <x:c r="A44" s="63"/>
      <x:c r="B44" s="63"/>
      <x:c r="C44" s="63"/>
      <x:c r="D44" s="63"/>
      <x:c r="E44" s="63"/>
      <x:c r="F44" s="63"/>
      <x:c r="G44" s="63"/>
      <x:c r="H44" s="63"/>
    </x:row>
    <x:row r="45" ht="22" customHeight="1">
      <x:c r="A45" s="63"/>
      <x:c r="B45" s="63"/>
      <x:c r="C45" s="63"/>
      <x:c r="D45" s="63"/>
      <x:c r="E45" s="63"/>
      <x:c r="F45" s="63"/>
      <x:c r="G45" s="63"/>
      <x:c r="H45" s="63"/>
    </x:row>
    <x:row r="46" ht="22" customHeight="1">
      <x:c r="A46" s="63"/>
      <x:c r="B46" s="63"/>
      <x:c r="C46" s="63"/>
      <x:c r="D46" s="63"/>
      <x:c r="E46" s="63"/>
      <x:c r="F46" s="63"/>
      <x:c r="G46" s="63"/>
      <x:c r="H46" s="63"/>
    </x:row>
    <x:row r="47" ht="22" customHeight="1">
      <x:c r="A47" s="63"/>
      <x:c r="B47" s="63"/>
      <x:c r="C47" s="63"/>
      <x:c r="D47" s="63"/>
      <x:c r="E47" s="63"/>
      <x:c r="F47" s="63"/>
      <x:c r="G47" s="63"/>
      <x:c r="H47" s="63"/>
    </x:row>
    <x:row r="48" ht="22" customHeight="1">
      <x:c r="A48" s="63"/>
      <x:c r="B48" s="63"/>
      <x:c r="C48" s="63"/>
      <x:c r="D48" s="63"/>
      <x:c r="E48" s="63"/>
      <x:c r="F48" s="63"/>
      <x:c r="G48" s="63"/>
      <x:c r="H48" s="63"/>
    </x:row>
    <x:row r="49" ht="22" customHeight="1">
      <x:c r="A49" s="63"/>
      <x:c r="B49" s="63"/>
      <x:c r="C49" s="63"/>
      <x:c r="D49" s="63"/>
      <x:c r="E49" s="63"/>
      <x:c r="F49" s="63"/>
      <x:c r="G49" s="63"/>
      <x:c r="H49" s="63"/>
    </x:row>
    <x:row r="50" ht="22" customHeight="1">
      <x:c r="A50" s="63"/>
      <x:c r="B50" s="63"/>
      <x:c r="C50" s="63"/>
      <x:c r="D50" s="63"/>
      <x:c r="E50" s="63"/>
      <x:c r="F50" s="63"/>
      <x:c r="G50" s="63"/>
      <x:c r="H50" s="63"/>
    </x:row>
    <x:row r="51" ht="22" customHeight="1">
      <x:c r="A51" s="63"/>
      <x:c r="B51" s="63"/>
      <x:c r="C51" s="63"/>
      <x:c r="D51" s="63"/>
      <x:c r="E51" s="63"/>
      <x:c r="F51" s="63"/>
      <x:c r="G51" s="63"/>
      <x:c r="H51" s="63"/>
    </x:row>
    <x:row r="52" ht="22" customHeight="1">
      <x:c r="A52" s="63"/>
      <x:c r="B52" s="63"/>
      <x:c r="C52" s="63"/>
      <x:c r="D52" s="63"/>
      <x:c r="E52" s="63"/>
      <x:c r="F52" s="63"/>
      <x:c r="G52" s="63"/>
      <x:c r="H52" s="63"/>
    </x:row>
    <x:row r="53" ht="22" customHeight="1">
      <x:c r="A53" s="63"/>
      <x:c r="B53" s="63"/>
      <x:c r="C53" s="63"/>
      <x:c r="D53" s="63"/>
      <x:c r="E53" s="63"/>
      <x:c r="F53" s="63"/>
      <x:c r="G53" s="63"/>
      <x:c r="H53" s="63"/>
    </x:row>
    <x:row r="54" ht="22" customHeight="1">
      <x:c r="A54" s="63"/>
      <x:c r="B54" s="63"/>
      <x:c r="C54" s="63"/>
      <x:c r="D54" s="63"/>
      <x:c r="E54" s="63"/>
      <x:c r="F54" s="63"/>
      <x:c r="G54" s="63"/>
      <x:c r="H54" s="63"/>
    </x:row>
    <x:row r="55" ht="22" customHeight="1">
      <x:c r="A55" s="63"/>
      <x:c r="B55" s="63"/>
      <x:c r="C55" s="63"/>
      <x:c r="D55" s="63"/>
      <x:c r="E55" s="63"/>
      <x:c r="F55" s="63"/>
      <x:c r="G55" s="63"/>
      <x:c r="H55" s="63"/>
    </x:row>
    <x:row r="56" ht="22" customHeight="1">
      <x:c r="A56" s="63"/>
      <x:c r="B56" s="63"/>
      <x:c r="C56" s="63"/>
      <x:c r="D56" s="63"/>
      <x:c r="E56" s="63"/>
      <x:c r="F56" s="63"/>
      <x:c r="G56" s="63"/>
      <x:c r="H56" s="63"/>
    </x:row>
    <x:row r="57" ht="22" customHeight="1">
      <x:c r="A57" s="63"/>
      <x:c r="B57" s="63"/>
      <x:c r="C57" s="63"/>
      <x:c r="D57" s="63"/>
      <x:c r="E57" s="63"/>
      <x:c r="F57" s="63"/>
      <x:c r="G57" s="63"/>
      <x:c r="H57" s="63"/>
    </x:row>
    <x:row r="58" ht="22" customHeight="1">
      <x:c r="A58" s="63"/>
      <x:c r="B58" s="63"/>
      <x:c r="C58" s="63"/>
      <x:c r="D58" s="63"/>
      <x:c r="E58" s="63"/>
      <x:c r="F58" s="63"/>
      <x:c r="G58" s="63"/>
      <x:c r="H58" s="63"/>
    </x:row>
  </x:sheetData>
  <x:mergeCells>
    <x:mergeCell ref="A1:H2"/>
    <x:mergeCell ref="A3:H3"/>
    <x:mergeCell ref="A5:H6"/>
    <x:mergeCell ref="A9:C9"/>
    <x:mergeCell ref="D9:E9"/>
    <x:mergeCell ref="F9:H9"/>
    <x:mergeCell ref="A10:C10"/>
    <x:mergeCell ref="D10:E10"/>
    <x:mergeCell ref="F10:H10"/>
    <x:mergeCell ref="A11:C11"/>
    <x:mergeCell ref="D11:E11"/>
    <x:mergeCell ref="F11:H11"/>
    <x:mergeCell ref="A12:C12"/>
    <x:mergeCell ref="D12:E12"/>
    <x:mergeCell ref="F12:H12"/>
    <x:mergeCell ref="A13:C13"/>
    <x:mergeCell ref="D13:E13"/>
    <x:mergeCell ref="F13:H13"/>
    <x:mergeCell ref="A14:C14"/>
    <x:mergeCell ref="D14:E14"/>
    <x:mergeCell ref="F14:H14"/>
    <x:mergeCell ref="A15:C15"/>
    <x:mergeCell ref="D15:E15"/>
    <x:mergeCell ref="F15:H15"/>
    <x:mergeCell ref="A16:C16"/>
    <x:mergeCell ref="D16:E16"/>
    <x:mergeCell ref="F16:H16"/>
    <x:mergeCell ref="A18:H18"/>
    <x:mergeCell ref="A20:B20"/>
    <x:mergeCell ref="C20:E20"/>
    <x:mergeCell ref="A22:B22"/>
    <x:mergeCell ref="C22:H22"/>
    <x:mergeCell ref="A24:B24"/>
    <x:mergeCell ref="C24:E24"/>
    <x:mergeCell ref="A26:H28"/>
    <x:mergeCell ref="A30:H30"/>
    <x:mergeCell ref="A32:C32"/>
    <x:mergeCell ref="D32:H32"/>
    <x:mergeCell ref="A33:C33"/>
    <x:mergeCell ref="D33:H33"/>
    <x:mergeCell ref="A34:C34"/>
    <x:mergeCell ref="D34:H34"/>
    <x:mergeCell ref="A35:C35"/>
    <x:mergeCell ref="D35:H35"/>
    <x:mergeCell ref="A36:C36"/>
    <x:mergeCell ref="D36:H36"/>
    <x:mergeCell ref="A39:H42"/>
  </x:mergeCells>
  <x:dataValidations count="8">
    <x:dataValidation type="list" sqref="D10">
      <x:formula1>"Pending,Confirmed,Not confirmed"</x:formula1>
    </x:dataValidation>
    <x:dataValidation type="list" sqref="D11">
      <x:formula1>"Pending,Confirmed,Not confirmed"</x:formula1>
    </x:dataValidation>
    <x:dataValidation type="list" sqref="D12">
      <x:formula1>"Pending,Confirmed,Not confirmed"</x:formula1>
    </x:dataValidation>
    <x:dataValidation type="list" sqref="D13">
      <x:formula1>"Pending,Confirmed,Not confirmed"</x:formula1>
    </x:dataValidation>
    <x:dataValidation type="list" sqref="D14">
      <x:formula1>"Pending,Confirmed,Not confirmed"</x:formula1>
    </x:dataValidation>
    <x:dataValidation type="list" sqref="D15">
      <x:formula1>"Pending,Confirmed,Not confirmed"</x:formula1>
    </x:dataValidation>
    <x:dataValidation type="list" sqref="D16">
      <x:formula1>"Pending,Confirmed,Not confirmed"</x:formula1>
    </x:dataValidation>
    <x:dataValidation type="list" sqref="C20">
      <x:formula1>"Pending,Approved,Not approved"</x:formula1>
    </x:dataValidation>
  </x:dataValidations>
  <x:pageMargins left="0.7" right="0.7" top="0.75" bottom="0.75" header="0.3" footer="0.3"/>
</x:worksheet>
</file>

<file path=xl/worksheets/sheet16.xml><?xml version="1.0" encoding="utf-8"?>
<x:worksheet xmlns:x="http://schemas.openxmlformats.org/spreadsheetml/2006/main">
  <x:sheetFormatPr defaultRowHeight="15"/>
  <x:cols>
    <x:col min="1" max="1" width="12" hidden="0" customWidth="1"/>
    <x:col min="2" max="2" width="28" hidden="0" customWidth="1"/>
    <x:col min="3" max="3" width="44" hidden="0" customWidth="1"/>
    <x:col min="4" max="4" width="75" hidden="0" customWidth="1"/>
    <x:col min="5" max="5" width="37" hidden="0" customWidth="1"/>
  </x:cols>
  <x:sheetData>
    <x:row r="1" ht="22" customHeight="1">
      <x:c r="A1" s="66" t="str">
        <x:v>BASELINE / SOURCE REGISTER</x:v>
      </x:c>
      <x:c r="B1" s="66"/>
      <x:c r="C1" s="66"/>
      <x:c r="D1" s="66"/>
      <x:c r="E1" s="66"/>
    </x:row>
    <x:row r="2" ht="22" customHeight="1">
      <x:c r="A2" s="66"/>
      <x:c r="B2" s="66"/>
      <x:c r="C2" s="66"/>
      <x:c r="D2" s="66"/>
      <x:c r="E2" s="66"/>
    </x:row>
    <x:row r="3" ht="27" customHeight="1">
      <x:c r="A3" s="69" t="str">
        <x:v>Pinned references for reproducibility • Source-derived scope; newly authored manual QA steps</x:v>
      </x:c>
      <x:c r="B3" s="69"/>
      <x:c r="C3" s="69"/>
      <x:c r="D3" s="69"/>
      <x:c r="E3" s="69"/>
    </x:row>
    <x:row r="4" ht="22" customHeight="1">
      <x:c r="A4" s="63"/>
      <x:c r="B4" s="63"/>
      <x:c r="C4" s="63"/>
      <x:c r="D4" s="63"/>
      <x:c r="E4" s="63"/>
    </x:row>
    <x:row r="5" ht="22" customHeight="1">
      <x:c r="A5" s="166" t="str">
        <x:v>Snapshot: 42e8b2007980756a21d17f0e5c0bbd9c8d13d325. No human testing was executed while preparing the checklist; only repository/merge/deployment reads. This is a product QA plan, not a security or legal certification.</x:v>
      </x:c>
      <x:c r="B5" s="166"/>
      <x:c r="C5" s="166"/>
      <x:c r="D5" s="166"/>
      <x:c r="E5" s="166"/>
    </x:row>
    <x:row r="6" ht="22" customHeight="1">
      <x:c r="A6" s="166"/>
      <x:c r="B6" s="166"/>
      <x:c r="C6" s="166"/>
      <x:c r="D6" s="166"/>
      <x:c r="E6" s="166"/>
    </x:row>
    <x:row r="7" ht="22" customHeight="1">
      <x:c r="A7" s="63"/>
      <x:c r="B7" s="63"/>
      <x:c r="C7" s="63"/>
      <x:c r="D7" s="63"/>
      <x:c r="E7" s="63"/>
    </x:row>
    <x:row r="8" ht="30" customHeight="1">
      <x:c r="A8" s="194" t="str">
        <x:v>Source ID</x:v>
      </x:c>
      <x:c r="B8" s="194" t="str">
        <x:v>Reference</x:v>
      </x:c>
      <x:c r="C8" s="194" t="str">
        <x:v>Scope / meaning</x:v>
      </x:c>
      <x:c r="D8" s="194" t="str">
        <x:v>Source URL</x:v>
      </x:c>
      <x:c r="E8" s="194" t="str">
        <x:v>Evidence limitation</x:v>
      </x:c>
    </x:row>
    <x:row r="9" ht="82" customHeight="1">
      <x:c r="A9" s="42" t="str">
        <x:v>SRC-01</x:v>
      </x:c>
      <x:c r="B9" s="42" t="str">
        <x:v>release</x:v>
      </x:c>
      <x:c r="C9" s="42" t="str">
        <x:v>Website human release checklist, direct routes, navigation, accessibility, mobile and output boundaries.</x:v>
      </x:c>
      <x:c r="D9" s="42" t="str">
        <x:v>https://github.com/icojto/GameWebsite/blob/42e8b2007980756a21d17f0e5c0bbd9c8d13d325/docs/website-release-checklist.md</x:v>
      </x:c>
      <x:c r="E9" s="42" t="str">
        <x:v>Reference/requirement, not execution proof. Historical prose may be superseded.</x:v>
      </x:c>
    </x:row>
    <x:row r="10" ht="82" customHeight="1">
      <x:c r="A10" s="42" t="str">
        <x:v>SRC-02</x:v>
      </x:c>
      <x:c r="B10" s="42" t="str">
        <x:v>adsqa</x:v>
      </x:c>
      <x:c r="C10" s="42" t="str">
        <x:v>Current Patch03.1 QA supersedes historical sections; Orbit runtime and mock behavior.</x:v>
      </x:c>
      <x:c r="D10" s="42" t="str">
        <x:v>https://github.com/icojto/GameWebsite/blob/42e8b2007980756a21d17f0e5c0bbd9c8d13d325/docs/ads-qa.md</x:v>
      </x:c>
      <x:c r="E10" s="42" t="str">
        <x:v>Reference/requirement, not execution proof. Historical prose may be superseded.</x:v>
      </x:c>
    </x:row>
    <x:row r="11" ht="82" customHeight="1">
      <x:c r="A11" s="42" t="str">
        <x:v>SRC-03</x:v>
      </x:c>
      <x:c r="B11" s="42" t="str">
        <x:v>adshelp</x:v>
      </x:c>
      <x:c r="C11" s="42" t="str">
        <x:v>Exact ad controls, finite/Unlimited semantics, help, status and reset scopes.</x:v>
      </x:c>
      <x:c r="D11" s="42" t="str">
        <x:v>https://github.com/icojto/GameWebsite/blob/42e8b2007980756a21d17f0e5c0bbd9c8d13d325/docs/ads-controls-reference.md</x:v>
      </x:c>
      <x:c r="E11" s="42" t="str">
        <x:v>Reference/requirement, not execution proof. Historical prose may be superseded.</x:v>
      </x:c>
    </x:row>
    <x:row r="12" ht="82" customHeight="1">
      <x:c r="A12" s="42" t="str">
        <x:v>SRC-04</x:v>
      </x:c>
      <x:c r="B12" s="42" t="str">
        <x:v>reactorads</x:v>
      </x:c>
      <x:c r="C12" s="42" t="str">
        <x:v>Reactor v1 implementation handoff, 201 reported tests, browser QA still pending.</x:v>
      </x:c>
      <x:c r="D12" s="42" t="str">
        <x:v>https://github.com/icojto/GameWebsite/blob/42e8b2007980756a21d17f0e5c0bbd9c8d13d325/docs/patches/2026-10-05-reactor-monetization-v1.md</x:v>
      </x:c>
      <x:c r="E12" s="42" t="str">
        <x:v>Reference/requirement, not execution proof. Historical prose may be superseded.</x:v>
      </x:c>
    </x:row>
    <x:row r="13" ht="82" customHeight="1">
      <x:c r="A13" s="42" t="str">
        <x:v>SRC-05</x:v>
      </x:c>
      <x:c r="B13" s="42" t="str">
        <x:v>orbitreadme</x:v>
      </x:c>
      <x:c r="C13" s="42" t="str">
        <x:v>Orbit input, standalone/full-host commands, local profile and Null behavior.</x:v>
      </x:c>
      <x:c r="D13" s="42" t="str">
        <x:v>https://github.com/icojto/GameWebsite/blob/42e8b2007980756a21d17f0e5c0bbd9c8d13d325/games/orbit-break/README.md</x:v>
      </x:c>
      <x:c r="E13" s="42" t="str">
        <x:v>Reference/requirement, not execution proof. Historical prose may be superseded.</x:v>
      </x:c>
    </x:row>
    <x:row r="14" ht="82" customHeight="1">
      <x:c r="A14" s="42" t="str">
        <x:v>SRC-06</x:v>
      </x:c>
      <x:c r="B14" s="42" t="str">
        <x:v>reactorreadme</x:v>
      </x:c>
      <x:c r="C14" s="42" t="str">
        <x:v>Reactor rules/defaults, no application backend and local score-only persistence.</x:v>
      </x:c>
      <x:c r="D14" s="42" t="str">
        <x:v>https://github.com/icojto/GameWebsite/blob/42e8b2007980756a21d17f0e5c0bbd9c8d13d325/games/reactor-stack/README.md</x:v>
      </x:c>
      <x:c r="E14" s="42" t="str">
        <x:v>Reference/requirement, not execution proof. Historical prose may be superseded.</x:v>
      </x:c>
    </x:row>
    <x:row r="15" ht="82" customHeight="1">
      <x:c r="A15" s="42" t="str">
        <x:v>SRC-07</x:v>
      </x:c>
      <x:c r="B15" s="42" t="str">
        <x:v>orbitdev</x:v>
      </x:c>
      <x:c r="C15" s="42" t="str">
        <x:v>Orbit's actual exposed game DEV registry and Ads Integration controls.</x:v>
      </x:c>
      <x:c r="D15" s="42" t="str">
        <x:v>https://github.com/icojto/GameWebsite/blob/42e8b2007980756a21d17f0e5c0bbd9c8d13d325/games/orbit-break/src/dev/orbit.ts</x:v>
      </x:c>
      <x:c r="E15" s="42" t="str">
        <x:v>Reference/requirement, not execution proof. Historical prose may be superseded.</x:v>
      </x:c>
    </x:row>
    <x:row r="16" ht="82" customHeight="1">
      <x:c r="A16" s="42" t="str">
        <x:v>SRC-08</x:v>
      </x:c>
      <x:c r="B16" s="42" t="str">
        <x:v>reactordev</x:v>
      </x:c>
      <x:c r="C16" s="42" t="str">
        <x:v>Reactor actual DEV fields, fixtures, counters and exports.</x:v>
      </x:c>
      <x:c r="D16" s="42" t="str">
        <x:v>https://github.com/icojto/GameWebsite/blob/42e8b2007980756a21d17f0e5c0bbd9c8d13d325/games/reactor-stack/src/dev-panel.ts</x:v>
      </x:c>
      <x:c r="E16" s="42" t="str">
        <x:v>Reference/requirement, not execution proof. Historical prose may be superseded.</x:v>
      </x:c>
    </x:row>
    <x:row r="17" ht="82" customHeight="1">
      <x:c r="A17" s="42" t="str">
        <x:v>SRC-09</x:v>
      </x:c>
      <x:c r="B17" s="42" t="str">
        <x:v>package</x:v>
      </x:c>
      <x:c r="C17" s="42" t="str">
        <x:v>Exact current npm scripts and declared engine/dependency metadata.</x:v>
      </x:c>
      <x:c r="D17" s="42" t="str">
        <x:v>https://github.com/icojto/GameWebsite/blob/42e8b2007980756a21d17f0e5c0bbd9c8d13d325/package.json</x:v>
      </x:c>
      <x:c r="E17" s="42" t="str">
        <x:v>Reference/requirement, not execution proof. Historical prose may be superseded.</x:v>
      </x:c>
    </x:row>
    <x:row r="18" ht="82" customHeight="1">
      <x:c r="A18" s="42" t="str">
        <x:v>SRC-10</x:v>
      </x:c>
      <x:c r="B18" s="42" t="str">
        <x:v>portal</x:v>
      </x:c>
      <x:c r="C18" s="42" t="str">
        <x:v>Website source and route/UI logic.</x:v>
      </x:c>
      <x:c r="D18" s="42" t="str">
        <x:v>https://github.com/icojto/GameWebsite/blob/42e8b2007980756a21d17f0e5c0bbd9c8d13d325/src/main.ts</x:v>
      </x:c>
      <x:c r="E18" s="42" t="str">
        <x:v>Reference/requirement, not execution proof. Historical prose may be superseded.</x:v>
      </x:c>
    </x:row>
    <x:row r="19" ht="82" customHeight="1">
      <x:c r="A19" s="42" t="str">
        <x:v>SRC-11</x:v>
      </x:c>
      <x:c r="B19" s="42" t="str">
        <x:v>portalpatch</x:v>
      </x:c>
      <x:c r="C19" s="42" t="str">
        <x:v>Production-readiness implementation record, content/SEO/accessibility exclusions.</x:v>
      </x:c>
      <x:c r="D19" s="42" t="str">
        <x:v>https://github.com/icojto/GameWebsite/blob/42e8b2007980756a21d17f0e5c0bbd9c8d13d325/docs/patches/2026-10-04-odesos-website-production-readiness.md</x:v>
      </x:c>
      <x:c r="E19" s="42" t="str">
        <x:v>Reference/requirement, not execution proof. Historical prose may be superseded.</x:v>
      </x:c>
    </x:row>
    <x:row r="20" ht="82" customHeight="1">
      <x:c r="A20" s="42" t="str">
        <x:v>SRC-12</x:v>
      </x:c>
      <x:c r="B20" s="42" t="str">
        <x:v>orbitpatch</x:v>
      </x:c>
      <x:c r="C20" s="42" t="str">
        <x:v>Orbit v2 design/implementation record for progression and game DEV tooling.</x:v>
      </x:c>
      <x:c r="D20" s="42" t="str">
        <x:v>https://github.com/icojto/GameWebsite/blob/42e8b2007980756a21d17f0e5c0bbd9c8d13d325/docs/patches/2026-10-05-orbit-break-v2.md</x:v>
      </x:c>
      <x:c r="E20" s="42" t="str">
        <x:v>Reference/requirement, not execution proof. Historical prose may be superseded.</x:v>
      </x:c>
    </x:row>
    <x:row r="21" ht="82" customHeight="1">
      <x:c r="A21" s="42" t="str">
        <x:v>SRC-13</x:v>
      </x:c>
      <x:c r="B21" s="42" t="str">
        <x:v>orbitads</x:v>
      </x:c>
      <x:c r="C21" s="42" t="str">
        <x:v>Orbit ad start/revive/accounting/presentation reference.</x:v>
      </x:c>
      <x:c r="D21" s="42" t="str">
        <x:v>https://github.com/icojto/GameWebsite/blob/42e8b2007980756a21d17f0e5c0bbd9c8d13d325/docs/patches/2026-10-05-orbit-monetization-v1.md</x:v>
      </x:c>
      <x:c r="E21" s="42" t="str">
        <x:v>Reference/requirement, not execution proof. Historical prose may be superseded.</x:v>
      </x:c>
    </x:row>
    <x:row r="22" ht="82" customHeight="1">
      <x:c r="A22" s="42" t="str">
        <x:v>SRC-14</x:v>
      </x:c>
      <x:c r="B22" s="42" t="str">
        <x:v>configorbit</x:v>
      </x:c>
      <x:c r="C22" s="42" t="str">
        <x:v>Orbit designer defaults and formations.</x:v>
      </x:c>
      <x:c r="D22" s="42" t="str">
        <x:v>https://github.com/icojto/GameWebsite/blob/42e8b2007980756a21d17f0e5c0bbd9c8d13d325/games/orbit-break/src/game/config.ts</x:v>
      </x:c>
      <x:c r="E22" s="42" t="str">
        <x:v>Reference/requirement, not execution proof. Historical prose may be superseded.</x:v>
      </x:c>
    </x:row>
    <x:row r="23" ht="82" customHeight="1">
      <x:c r="A23" s="42" t="str">
        <x:v>SRC-15</x:v>
      </x:c>
      <x:c r="B23" s="42" t="str">
        <x:v>configreactor</x:v>
      </x:c>
      <x:c r="C23" s="42" t="str">
        <x:v>Reactor board/heat/score/power-up defaults.</x:v>
      </x:c>
      <x:c r="D23" s="42" t="str">
        <x:v>https://github.com/icojto/GameWebsite/blob/42e8b2007980756a21d17f0e5c0bbd9c8d13d325/games/reactor-stack/src/config.ts</x:v>
      </x:c>
      <x:c r="E23" s="42" t="str">
        <x:v>Reference/requirement, not execution proof. Historical prose may be superseded.</x:v>
      </x:c>
    </x:row>
    <x:row r="24" ht="82" customHeight="1">
      <x:c r="A24" s="42" t="str">
        <x:v>SRC-16</x:v>
      </x:c>
      <x:c r="B24" s="42" t="str">
        <x:v>rulesreactor</x:v>
      </x:c>
      <x:c r="C24" s="42" t="str">
        <x:v>Reactor turn/result/state rules.</x:v>
      </x:c>
      <x:c r="D24" s="42" t="str">
        <x:v>https://github.com/icojto/GameWebsite/blob/42e8b2007980756a21d17f0e5c0bbd9c8d13d325/games/reactor-stack/src/rules.ts</x:v>
      </x:c>
      <x:c r="E24" s="42" t="str">
        <x:v>Reference/requirement, not execution proof. Historical prose may be superseded.</x:v>
      </x:c>
    </x:row>
    <x:row r="25" ht="82" customHeight="1">
      <x:c r="A25" s="42" t="str">
        <x:v>SRC-17</x:v>
      </x:c>
      <x:c r="B25" s="42" t="str">
        <x:v>adsmodel</x:v>
      </x:c>
      <x:c r="C25" s="42" t="str">
        <x:v>Current shared ad types/config; use Patch03.1 semantics.</x:v>
      </x:c>
      <x:c r="D25" s="42" t="str">
        <x:v>https://github.com/icojto/GameWebsite/blob/42e8b2007980756a21d17f0e5c0bbd9c8d13d325/src/ads/model.ts</x:v>
      </x:c>
      <x:c r="E25" s="42" t="str">
        <x:v>Reference/requirement, not execution proof. Historical prose may be superseded.</x:v>
      </x:c>
    </x:row>
    <x:row r="26" ht="82" customHeight="1">
      <x:c r="A26" s="42" t="str">
        <x:v>SRC-18</x:v>
      </x:c>
      <x:c r="B26" s="42" t="str">
        <x:v>blueprint</x:v>
      </x:c>
      <x:c r="C26" s="42" t="str">
        <x:v>Shared host/game ownership, validated bridge and provider exclusion.</x:v>
      </x:c>
      <x:c r="D26" s="42" t="str">
        <x:v>https://github.com/icojto/GameWebsite/blob/42e8b2007980756a21d17f0e5c0bbd9c8d13d325/docs/ads-blueprint.md</x:v>
      </x:c>
      <x:c r="E26" s="42" t="str">
        <x:v>Reference/requirement, not execution proof. Historical prose may be superseded.</x:v>
      </x:c>
    </x:row>
    <x:row r="27" ht="82" customHeight="1">
      <x:c r="A27" s="42" t="str">
        <x:v>SRC-19</x:v>
      </x:c>
      <x:c r="B27" s="42" t="str">
        <x:v>workflow</x:v>
      </x:c>
      <x:c r="C27" s="42" t="str">
        <x:v>GitHub Pages deploy for PR19 merge was observed completed successfully.</x:v>
      </x:c>
      <x:c r="D27" s="42" t="str">
        <x:v>https://github.com/icojto/GameWebsite/actions/runs/37344149677</x:v>
      </x:c>
      <x:c r="E27" s="42" t="str">
        <x:v>Observed metadata only; not a browser pass.</x:v>
      </x:c>
    </x:row>
    <x:row r="28" ht="82" customHeight="1">
      <x:c r="A28" s="42" t="str">
        <x:v>SRC-20</x:v>
      </x:c>
      <x:c r="B28" s="42" t="str">
        <x:v>pr19</x:v>
      </x:c>
      <x:c r="C28" s="42" t="str">
        <x:v>Merge confirmed; merge commit 42e8b2007980756a21d17f0e5c0bbd9c8d13d325.</x:v>
      </x:c>
      <x:c r="D28" s="42" t="str">
        <x:v>https://github.com/icojto/GameWebsite/pull/19</x:v>
      </x:c>
      <x:c r="E28" s="42" t="str">
        <x:v>Observed metadata only; not a browser pass.</x:v>
      </x:c>
    </x:row>
    <x:row r="29" ht="82" customHeight="1">
      <x:c r="A29" s="42" t="str">
        <x:v>SRC-21</x:v>
      </x:c>
      <x:c r="B29" s="42" t="str">
        <x:v>catalog</x:v>
      </x:c>
      <x:c r="C29" s="42" t="str">
        <x:v>Public/hidden game source of truth.</x:v>
      </x:c>
      <x:c r="D29" s="42" t="str">
        <x:v>https://github.com/icojto/GameWebsite/blob/42e8b2007980756a21d17f0e5c0bbd9c8d13d325/src/games/catalog.mjs</x:v>
      </x:c>
      <x:c r="E29" s="42" t="str">
        <x:v>Reference/requirement, not execution proof. Historical prose may be superseded.</x:v>
      </x:c>
    </x:row>
    <x:row r="30" ht="22" customHeight="1">
      <x:c r="A30" s="63"/>
      <x:c r="B30" s="63"/>
      <x:c r="C30" s="63"/>
      <x:c r="D30" s="63"/>
      <x:c r="E30" s="63"/>
    </x:row>
    <x:row r="31" ht="22" customHeight="1">
      <x:c r="A31" s="63"/>
      <x:c r="B31" s="63"/>
      <x:c r="C31" s="63"/>
      <x:c r="D31" s="63"/>
      <x:c r="E31" s="63"/>
    </x:row>
    <x:row r="32" ht="22" customHeight="1">
      <x:c r="A32" s="63"/>
      <x:c r="B32" s="63"/>
      <x:c r="C32" s="63"/>
      <x:c r="D32" s="63"/>
      <x:c r="E32" s="63"/>
    </x:row>
    <x:row r="33" ht="22" customHeight="1">
      <x:c r="A33" s="63"/>
      <x:c r="B33" s="63"/>
      <x:c r="C33" s="63"/>
      <x:c r="D33" s="63"/>
      <x:c r="E33" s="63"/>
    </x:row>
    <x:row r="34" ht="22" customHeight="1">
      <x:c r="A34" s="63"/>
      <x:c r="B34" s="63"/>
      <x:c r="C34" s="63"/>
      <x:c r="D34" s="63"/>
      <x:c r="E34" s="63"/>
    </x:row>
    <x:row r="35" ht="22" customHeight="1">
      <x:c r="A35" s="63"/>
      <x:c r="B35" s="63"/>
      <x:c r="C35" s="63"/>
      <x:c r="D35" s="63"/>
      <x:c r="E35" s="63"/>
    </x:row>
    <x:row r="36" ht="22" customHeight="1">
      <x:c r="A36" s="63"/>
      <x:c r="B36" s="63"/>
      <x:c r="C36" s="63"/>
      <x:c r="D36" s="63"/>
      <x:c r="E36" s="63"/>
    </x:row>
    <x:row r="37" ht="22" customHeight="1">
      <x:c r="A37" s="63"/>
      <x:c r="B37" s="63"/>
      <x:c r="C37" s="63"/>
      <x:c r="D37" s="63"/>
      <x:c r="E37" s="63"/>
    </x:row>
    <x:row r="38" ht="22" customHeight="1">
      <x:c r="A38" s="63"/>
      <x:c r="B38" s="63"/>
      <x:c r="C38" s="63"/>
      <x:c r="D38" s="63"/>
      <x:c r="E38" s="63"/>
    </x:row>
    <x:row r="39" ht="22" customHeight="1">
      <x:c r="A39" s="63"/>
      <x:c r="B39" s="63"/>
      <x:c r="C39" s="63"/>
      <x:c r="D39" s="63"/>
      <x:c r="E39" s="63"/>
    </x:row>
    <x:row r="40" ht="22" customHeight="1">
      <x:c r="A40" s="63"/>
      <x:c r="B40" s="63"/>
      <x:c r="C40" s="63"/>
      <x:c r="D40" s="63"/>
      <x:c r="E40" s="63"/>
    </x:row>
    <x:row r="41" ht="22" customHeight="1">
      <x:c r="A41" s="63"/>
      <x:c r="B41" s="63"/>
      <x:c r="C41" s="63"/>
      <x:c r="D41" s="63"/>
      <x:c r="E41" s="63"/>
    </x:row>
    <x:row r="42" ht="22" customHeight="1">
      <x:c r="A42" s="63"/>
      <x:c r="B42" s="63"/>
      <x:c r="C42" s="63"/>
      <x:c r="D42" s="63"/>
      <x:c r="E42" s="63"/>
    </x:row>
    <x:row r="43" ht="22" customHeight="1">
      <x:c r="A43" s="63"/>
      <x:c r="B43" s="63"/>
      <x:c r="C43" s="63"/>
      <x:c r="D43" s="63"/>
      <x:c r="E43" s="63"/>
    </x:row>
    <x:row r="44" ht="22" customHeight="1">
      <x:c r="A44" s="63"/>
      <x:c r="B44" s="63"/>
      <x:c r="C44" s="63"/>
      <x:c r="D44" s="63"/>
      <x:c r="E44" s="63"/>
    </x:row>
  </x:sheetData>
  <x:mergeCells>
    <x:mergeCell ref="A1:E2"/>
    <x:mergeCell ref="A3:E3"/>
    <x:mergeCell ref="A5:E6"/>
  </x:mergeCells>
  <x:pageMargins left="0.7" right="0.7" top="0.75" bottom="0.75" header="0.3" footer="0.3"/>
  <x:tableParts count="1">
    <x:tablePart xmlns:r="http://schemas.openxmlformats.org/officeDocument/2006/relationships" r:id="R116c2881e1f44028"/>
  </x:tableParts>
</x:worksheet>
</file>